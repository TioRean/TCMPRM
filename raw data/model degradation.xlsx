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ummary_20251222_083142" sheetId="1" r:id="rId1"/>
    <sheet name="Sheet1" sheetId="2" r:id="rId2"/>
    <sheet name="Sheet2" sheetId="3" r:id="rId3"/>
    <sheet name="Sheet3" sheetId="4" r:id="rId4"/>
    <sheet name="Sheet4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<sst xmlns="http://schemas.openxmlformats.org/spreadsheetml/2006/main" count="299" uniqueCount="153">
  <si>
    <t>dataset</t>
  </si>
  <si>
    <t>version</t>
  </si>
  <si>
    <t>metric</t>
  </si>
  <si>
    <t>mode</t>
  </si>
  <si>
    <t>baseline</t>
  </si>
  <si>
    <t>simulated general-0.5B</t>
  </si>
  <si>
    <t>simulated general-1.0B</t>
  </si>
  <si>
    <t>simulated general-1.5B</t>
  </si>
  <si>
    <t>simulated general-2.0B</t>
  </si>
  <si>
    <t>simulated general-2.5B</t>
  </si>
  <si>
    <t>simulated general-3.0B</t>
  </si>
  <si>
    <t>simulated-only-0.5B</t>
  </si>
  <si>
    <t>simulated-only-1.0B</t>
  </si>
  <si>
    <t>simulated-only-1.5B</t>
  </si>
  <si>
    <t>simulated-only-2.0B</t>
  </si>
  <si>
    <t>simulated-only-2.5B</t>
  </si>
  <si>
    <t>simulated-only-3.0B</t>
  </si>
  <si>
    <t>ceval-computer_network</t>
  </si>
  <si>
    <t>db9ce2</t>
  </si>
  <si>
    <t>accuracy</t>
  </si>
  <si>
    <t>gen</t>
  </si>
  <si>
    <t>ceval-operating_system</t>
  </si>
  <si>
    <t>1c2571</t>
  </si>
  <si>
    <t>ceval-computer_architecture</t>
  </si>
  <si>
    <t>a74dad</t>
  </si>
  <si>
    <t>ceval-college_programming</t>
  </si>
  <si>
    <t>4ca32a</t>
  </si>
  <si>
    <t>ceval-college_physics</t>
  </si>
  <si>
    <t>963fa8</t>
  </si>
  <si>
    <t>ceval-college_chemistry</t>
  </si>
  <si>
    <t>e78857</t>
  </si>
  <si>
    <t>ceval-advanced_mathematics</t>
  </si>
  <si>
    <t>ce03e2</t>
  </si>
  <si>
    <t>ceval-probability_and_statistics</t>
  </si>
  <si>
    <t>65e812</t>
  </si>
  <si>
    <t>ceval-discrete_mathematics</t>
  </si>
  <si>
    <t>e894ae</t>
  </si>
  <si>
    <t>ceval-electrical_engineer</t>
  </si>
  <si>
    <t>ae42b9</t>
  </si>
  <si>
    <t>ceval-metrology_engineer</t>
  </si>
  <si>
    <t>ee34ea</t>
  </si>
  <si>
    <t>ceval-high_school_mathematics</t>
  </si>
  <si>
    <t>1dc5bf</t>
  </si>
  <si>
    <t>ceval-high_school_physics</t>
  </si>
  <si>
    <t>adf25f</t>
  </si>
  <si>
    <t>ceval-high_school_chemistry</t>
  </si>
  <si>
    <t>2ed27f</t>
  </si>
  <si>
    <t>ceval-high_school_biology</t>
  </si>
  <si>
    <t>8e2b9a</t>
  </si>
  <si>
    <t>ceval-middle_school_mathematics</t>
  </si>
  <si>
    <t>bee8d5</t>
  </si>
  <si>
    <t>ceval-middle_school_biology</t>
  </si>
  <si>
    <t>86817c</t>
  </si>
  <si>
    <t>ceval-middle_school_physics</t>
  </si>
  <si>
    <t>8accf6</t>
  </si>
  <si>
    <t>ceval-middle_school_chemistry</t>
  </si>
  <si>
    <t>167a15</t>
  </si>
  <si>
    <t>ceval-veterinary_medicine</t>
  </si>
  <si>
    <t>b4e08d</t>
  </si>
  <si>
    <t>ceval-college_economics</t>
  </si>
  <si>
    <t>f3f4e6</t>
  </si>
  <si>
    <t>ceval-business_administration</t>
  </si>
  <si>
    <t>c1614e</t>
  </si>
  <si>
    <t>ceval-marxism</t>
  </si>
  <si>
    <t>cf874c</t>
  </si>
  <si>
    <t>ceval-mao_zedong_thought</t>
  </si>
  <si>
    <t>51c7a4</t>
  </si>
  <si>
    <t>ceval-education_science</t>
  </si>
  <si>
    <t>591fee</t>
  </si>
  <si>
    <t>ceval-teacher_qualification</t>
  </si>
  <si>
    <t>4e4ced</t>
  </si>
  <si>
    <t>ceval-high_school_politics</t>
  </si>
  <si>
    <t>5c0de2</t>
  </si>
  <si>
    <t>ceval-high_school_geography</t>
  </si>
  <si>
    <t>ceval-middle_school_politics</t>
  </si>
  <si>
    <t>5be3e7</t>
  </si>
  <si>
    <t>ceval-middle_school_geography</t>
  </si>
  <si>
    <t>8a63be</t>
  </si>
  <si>
    <t>ceval-modern_chinese_history</t>
  </si>
  <si>
    <t>fc01af</t>
  </si>
  <si>
    <t>ceval-ideological_and_moral_cultivation</t>
  </si>
  <si>
    <t>a2aa4a</t>
  </si>
  <si>
    <t>ceval-logic</t>
  </si>
  <si>
    <t>f5b022</t>
  </si>
  <si>
    <t>ceval-law</t>
  </si>
  <si>
    <t>a110a1</t>
  </si>
  <si>
    <t>ceval-chinese_language_and_literature</t>
  </si>
  <si>
    <t>0f8b68</t>
  </si>
  <si>
    <t>ceval-art_studies</t>
  </si>
  <si>
    <t>2a1300</t>
  </si>
  <si>
    <t>ceval-professional_tour_guide</t>
  </si>
  <si>
    <t>4e673e</t>
  </si>
  <si>
    <t>ceval-legal_professional</t>
  </si>
  <si>
    <t>ce8787</t>
  </si>
  <si>
    <t>ceval-high_school_chinese</t>
  </si>
  <si>
    <t>ceval-high_school_history</t>
  </si>
  <si>
    <t>7eb30a</t>
  </si>
  <si>
    <t>ceval-middle_school_history</t>
  </si>
  <si>
    <t>48ab4a</t>
  </si>
  <si>
    <t>ceval-civil_servant</t>
  </si>
  <si>
    <t>87d061</t>
  </si>
  <si>
    <t>ceval-sports_science</t>
  </si>
  <si>
    <t>70f27b</t>
  </si>
  <si>
    <t>ceval-plant_protection</t>
  </si>
  <si>
    <t>8941f9</t>
  </si>
  <si>
    <t>ceval-basic_medicine</t>
  </si>
  <si>
    <t>c409d6</t>
  </si>
  <si>
    <t>ceval-clinical_medicine</t>
  </si>
  <si>
    <t>49e82d</t>
  </si>
  <si>
    <t>ceval-urban_and_rural_planner</t>
  </si>
  <si>
    <t>95b885</t>
  </si>
  <si>
    <t>ceval-accountant</t>
  </si>
  <si>
    <t>002837</t>
  </si>
  <si>
    <t>ceval-fire_engineer</t>
  </si>
  <si>
    <t>bc23f5</t>
  </si>
  <si>
    <t>ceval-environmental_impact_assessment_engineer</t>
  </si>
  <si>
    <t>c64e2d</t>
  </si>
  <si>
    <t>ceval-tax_accountant</t>
  </si>
  <si>
    <t>3a5e3c</t>
  </si>
  <si>
    <t>ceval-physician</t>
  </si>
  <si>
    <t>6e277d</t>
  </si>
  <si>
    <t>hellaswag</t>
  </si>
  <si>
    <t>e42710</t>
  </si>
  <si>
    <t>winogrande</t>
  </si>
  <si>
    <t>ARC-c</t>
  </si>
  <si>
    <t>1e0de5</t>
  </si>
  <si>
    <t>ceval</t>
  </si>
  <si>
    <t>ceval-hard</t>
  </si>
  <si>
    <t>ceval-math</t>
  </si>
  <si>
    <t>ARC-e</t>
  </si>
  <si>
    <t>all data</t>
  </si>
  <si>
    <t>simulated general</t>
  </si>
  <si>
    <t>simulated map</t>
  </si>
  <si>
    <t>all data-4000</t>
  </si>
  <si>
    <t>simulated general-4000</t>
  </si>
  <si>
    <t>simulated map-4000</t>
  </si>
  <si>
    <t>all data-8000</t>
  </si>
  <si>
    <t>simulated general-8000</t>
  </si>
  <si>
    <t>simulated map-8000</t>
  </si>
  <si>
    <t>all data-12000</t>
  </si>
  <si>
    <t>simulated general-12000</t>
  </si>
  <si>
    <t>simulated map-12000</t>
  </si>
  <si>
    <t>all data-16000</t>
  </si>
  <si>
    <t>simulated general-16000</t>
  </si>
  <si>
    <t>simulated map-16000</t>
  </si>
  <si>
    <t>all data-20000</t>
  </si>
  <si>
    <t>simulated general-20000</t>
  </si>
  <si>
    <t>simulated map-20000</t>
  </si>
  <si>
    <t>all data-24000</t>
  </si>
  <si>
    <t>simulated general-24000</t>
  </si>
  <si>
    <t>simulated map-24000</t>
  </si>
  <si>
    <t>simulated_general</t>
  </si>
  <si>
    <t>simulated_only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</si>
</sst>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9">
    <font>
      <sz val="11"/>
      <color theme="1"/>
      <name val="宋体"/>
      <charset val="134"/>
      <scheme val="minor"/>
    </font>
    <font>
      <sz val="10"/>
      <color theme="1"/>
      <name val="Microsoft YaHei"/>
      <charset val="134"/>
    </font>
    <font>
      <b/>
      <sz val="11"/>
      <color theme="1"/>
      <name val="Microsoft YaHei"/>
      <charset val="134"/>
    </font>
    <font>
      <b/>
      <sz val="11"/>
      <color theme="1"/>
      <name val="宋体"/>
      <charset val="134"/>
      <scheme val="minor"/>
    </font>
    <font>
      <b/>
      <sz val="11"/>
      <name val="Microsoft YaHei"/>
      <charset val="134"/>
    </font>
    <font>
      <b/>
      <sz val="10"/>
      <name val="Arial"/>
      <charset val="134"/>
    </font>
    <font>
      <b/>
      <sz val="10"/>
      <color theme="1"/>
      <name val="Arial"/>
      <charset val="134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b/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21" fillId="8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NumberFormat="1" applyFont="1" applyAlignment="1">
      <alignment horizontal="center" vertical="center" wrapText="1"/>
    </xf>
    <xf numFmtId="177" fontId="0" fillId="0" borderId="0" xfId="0" applyNumberFormat="1">
      <alignment vertical="center"/>
    </xf>
    <xf numFmtId="0" fontId="2" fillId="2" borderId="0" xfId="0" applyNumberFormat="1" applyFont="1" applyFill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 wrapText="1"/>
    </xf>
    <xf numFmtId="177" fontId="1" fillId="2" borderId="0" xfId="0" applyNumberFormat="1" applyFont="1" applyFill="1" applyAlignment="1">
      <alignment horizontal="center" vertical="center" wrapText="1"/>
    </xf>
    <xf numFmtId="177" fontId="1" fillId="0" borderId="0" xfId="0" applyNumberFormat="1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176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4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177" fontId="6" fillId="3" borderId="0" xfId="0" applyNumberFormat="1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horizontal="center" vertical="center"/>
    </xf>
    <xf numFmtId="176" fontId="5" fillId="3" borderId="0" xfId="0" applyNumberFormat="1" applyFont="1" applyFill="1" applyBorder="1" applyAlignment="1">
      <alignment horizontal="center" vertical="center" wrapText="1"/>
    </xf>
    <xf numFmtId="176" fontId="7" fillId="0" borderId="0" xfId="0" applyNumberFormat="1" applyFont="1" applyBorder="1" applyAlignment="1">
      <alignment horizontal="center" vertical="center"/>
    </xf>
    <xf numFmtId="176" fontId="7" fillId="3" borderId="0" xfId="0" applyNumberFormat="1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176" fontId="9" fillId="4" borderId="0" xfId="0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hellaswag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Sheet3!$B$2</c:f>
              <c:strCache>
                <c:ptCount val="1"/>
                <c:pt idx="0">
                  <c:v>all 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Sheet3!$C$1:$H$1</c:f>
              <c:numCache>
                <c:formatCode>0.0_ </c:formatCode>
                <c:ptCount val="6"/>
                <c:pt idx="0" c:formatCode="0.0_ ">
                  <c:v>0.5</c:v>
                </c:pt>
                <c:pt idx="1" c:formatCode="0.0_ ">
                  <c:v>1</c:v>
                </c:pt>
                <c:pt idx="2" c:formatCode="0.0_ ">
                  <c:v>1.5</c:v>
                </c:pt>
                <c:pt idx="3" c:formatCode="0.0_ ">
                  <c:v>2</c:v>
                </c:pt>
                <c:pt idx="4" c:formatCode="0.0_ ">
                  <c:v>2.5</c:v>
                </c:pt>
                <c:pt idx="5" c:formatCode="0.0_ ">
                  <c:v>3</c:v>
                </c:pt>
              </c:numCache>
            </c:numRef>
          </c:cat>
          <c:val>
            <c:numRef>
              <c:f>Sheet3!$C$2:$H$2</c:f>
              <c:numCache>
                <c:formatCode>0.0_ </c:formatCode>
                <c:ptCount val="6"/>
                <c:pt idx="0">
                  <c:v>85.29</c:v>
                </c:pt>
                <c:pt idx="1">
                  <c:v>84.85</c:v>
                </c:pt>
                <c:pt idx="2">
                  <c:v>85.04</c:v>
                </c:pt>
                <c:pt idx="3">
                  <c:v>85.15</c:v>
                </c:pt>
                <c:pt idx="4">
                  <c:v>84.64</c:v>
                </c:pt>
                <c:pt idx="5">
                  <c:v>84.45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Sheet3!$B$3</c:f>
              <c:strCache>
                <c:ptCount val="1"/>
                <c:pt idx="0">
                  <c:v>simulated_general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Sheet3!$C$1:$H$1</c:f>
              <c:numCache>
                <c:formatCode>0.0_ </c:formatCode>
                <c:ptCount val="6"/>
                <c:pt idx="0" c:formatCode="0.0_ ">
                  <c:v>0.5</c:v>
                </c:pt>
                <c:pt idx="1" c:formatCode="0.0_ ">
                  <c:v>1</c:v>
                </c:pt>
                <c:pt idx="2" c:formatCode="0.0_ ">
                  <c:v>1.5</c:v>
                </c:pt>
                <c:pt idx="3" c:formatCode="0.0_ ">
                  <c:v>2</c:v>
                </c:pt>
                <c:pt idx="4" c:formatCode="0.0_ ">
                  <c:v>2.5</c:v>
                </c:pt>
                <c:pt idx="5" c:formatCode="0.0_ ">
                  <c:v>3</c:v>
                </c:pt>
              </c:numCache>
            </c:numRef>
          </c:cat>
          <c:val>
            <c:numRef>
              <c:f>Sheet3!$C$3:$H$3</c:f>
              <c:numCache>
                <c:formatCode>0.0_ </c:formatCode>
                <c:ptCount val="6"/>
                <c:pt idx="0">
                  <c:v>84.95</c:v>
                </c:pt>
                <c:pt idx="1">
                  <c:v>85.12</c:v>
                </c:pt>
                <c:pt idx="2">
                  <c:v>84.91</c:v>
                </c:pt>
                <c:pt idx="3">
                  <c:v>84.97</c:v>
                </c:pt>
                <c:pt idx="4">
                  <c:v>84.61</c:v>
                </c:pt>
                <c:pt idx="5">
                  <c:v>84.57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Sheet3!$B$4</c:f>
              <c:strCache>
                <c:ptCount val="1"/>
                <c:pt idx="0">
                  <c:v>simulated map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Sheet3!$C$1:$H$1</c:f>
              <c:numCache>
                <c:formatCode>0.0_ </c:formatCode>
                <c:ptCount val="6"/>
                <c:pt idx="0" c:formatCode="0.0_ ">
                  <c:v>0.5</c:v>
                </c:pt>
                <c:pt idx="1" c:formatCode="0.0_ ">
                  <c:v>1</c:v>
                </c:pt>
                <c:pt idx="2" c:formatCode="0.0_ ">
                  <c:v>1.5</c:v>
                </c:pt>
                <c:pt idx="3" c:formatCode="0.0_ ">
                  <c:v>2</c:v>
                </c:pt>
                <c:pt idx="4" c:formatCode="0.0_ ">
                  <c:v>2.5</c:v>
                </c:pt>
                <c:pt idx="5" c:formatCode="0.0_ ">
                  <c:v>3</c:v>
                </c:pt>
              </c:numCache>
            </c:numRef>
          </c:cat>
          <c:val>
            <c:numRef>
              <c:f>Sheet3!$C$4:$H$4</c:f>
              <c:numCache>
                <c:formatCode>0.0_ </c:formatCode>
                <c:ptCount val="6"/>
                <c:pt idx="0">
                  <c:v>84.02</c:v>
                </c:pt>
                <c:pt idx="1">
                  <c:v>84.11</c:v>
                </c:pt>
                <c:pt idx="2">
                  <c:v>83.28</c:v>
                </c:pt>
                <c:pt idx="3">
                  <c:v>83.63</c:v>
                </c:pt>
                <c:pt idx="4">
                  <c:v>83.6</c:v>
                </c:pt>
                <c:pt idx="5">
                  <c:v>83.75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Sheet3!$B$5</c:f>
              <c:strCache>
                <c:ptCount val="1"/>
                <c:pt idx="0">
                  <c:v>simulated_only</c:v>
                </c:pt>
              </c:strCache>
            </c:strRef>
          </c:tx>
          <c:spPr>
            <a:ln w="12700" cap="rnd" cmpd="dbl">
              <a:solidFill>
                <a:schemeClr val="accent4"/>
              </a:solidFill>
              <a:prstDash val="sysDot"/>
              <a:round/>
            </a:ln>
            <a:effectLst/>
            <a:sp3d contourW="12700"/>
          </c:spPr>
          <c:marker>
            <c:symbol val="none"/>
          </c:marker>
          <c:dLbls>
            <c:delete val="1"/>
          </c:dLbls>
          <c:cat>
            <c:numRef>
              <c:f>Sheet3!$C$1:$H$1</c:f>
              <c:numCache>
                <c:formatCode>0.0_ </c:formatCode>
                <c:ptCount val="6"/>
                <c:pt idx="0" c:formatCode="0.0_ ">
                  <c:v>0.5</c:v>
                </c:pt>
                <c:pt idx="1" c:formatCode="0.0_ ">
                  <c:v>1</c:v>
                </c:pt>
                <c:pt idx="2" c:formatCode="0.0_ ">
                  <c:v>1.5</c:v>
                </c:pt>
                <c:pt idx="3" c:formatCode="0.0_ ">
                  <c:v>2</c:v>
                </c:pt>
                <c:pt idx="4" c:formatCode="0.0_ ">
                  <c:v>2.5</c:v>
                </c:pt>
                <c:pt idx="5" c:formatCode="0.0_ ">
                  <c:v>3</c:v>
                </c:pt>
              </c:numCache>
            </c:numRef>
          </c:cat>
          <c:val>
            <c:numRef>
              <c:f>Sheet3!$C$6:$H$6</c:f>
              <c:numCache>
                <c:formatCode>0.0_ </c:formatCode>
                <c:ptCount val="6"/>
                <c:pt idx="0">
                  <c:v>85.19</c:v>
                </c:pt>
                <c:pt idx="1">
                  <c:v>85.19</c:v>
                </c:pt>
                <c:pt idx="2">
                  <c:v>85.19</c:v>
                </c:pt>
                <c:pt idx="3">
                  <c:v>85.19</c:v>
                </c:pt>
                <c:pt idx="4">
                  <c:v>85.19</c:v>
                </c:pt>
                <c:pt idx="5">
                  <c:v>85.19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59954519"/>
        <c:axId val="85179070"/>
      </c:lineChart>
      <c:catAx>
        <c:axId val="9599545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179070"/>
        <c:crosses val="autoZero"/>
        <c:auto val="1"/>
        <c:lblAlgn val="ctr"/>
        <c:lblOffset val="100"/>
        <c:noMultiLvlLbl val="0"/>
      </c:catAx>
      <c:valAx>
        <c:axId val="8517907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9954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ea5680e-459a-4f91-ab65-e82ce0a3ce3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winogrande</a:t>
            </a:r>
          </a:p>
        </c:rich>
      </c:tx>
      <c:layout>
        <c:manualLayout>
          <c:xMode val="edge"/>
          <c:yMode val="edge"/>
          <c:x val="0.415526315789474"/>
          <c:y val="0.022685185185185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Sheet3!$B$9</c:f>
              <c:strCache>
                <c:ptCount val="1"/>
                <c:pt idx="0">
                  <c:v>all 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Sheet3!$C$8:$H$8</c:f>
              <c:numCache>
                <c:formatCode>0.0_ </c:formatCode>
                <c:ptCount val="6"/>
                <c:pt idx="0" c:formatCode="0.0_ ">
                  <c:v>0.5</c:v>
                </c:pt>
                <c:pt idx="1" c:formatCode="0.0_ ">
                  <c:v>1</c:v>
                </c:pt>
                <c:pt idx="2" c:formatCode="0.0_ ">
                  <c:v>1.5</c:v>
                </c:pt>
                <c:pt idx="3" c:formatCode="0.0_ ">
                  <c:v>2</c:v>
                </c:pt>
                <c:pt idx="4" c:formatCode="0.0_ ">
                  <c:v>2.5</c:v>
                </c:pt>
                <c:pt idx="5" c:formatCode="0.0_ ">
                  <c:v>3</c:v>
                </c:pt>
              </c:numCache>
            </c:numRef>
          </c:cat>
          <c:val>
            <c:numRef>
              <c:f>Sheet3!$C$9:$H$9</c:f>
              <c:numCache>
                <c:formatCode>0.0_ </c:formatCode>
                <c:ptCount val="6"/>
                <c:pt idx="0">
                  <c:v>67.48</c:v>
                </c:pt>
                <c:pt idx="1">
                  <c:v>67.96</c:v>
                </c:pt>
                <c:pt idx="2">
                  <c:v>67.17</c:v>
                </c:pt>
                <c:pt idx="3">
                  <c:v>67.4</c:v>
                </c:pt>
                <c:pt idx="4">
                  <c:v>66.14</c:v>
                </c:pt>
                <c:pt idx="5">
                  <c:v>66.06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Sheet3!$B$10</c:f>
              <c:strCache>
                <c:ptCount val="1"/>
                <c:pt idx="0">
                  <c:v>simulated_general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Sheet3!$C$8:$H$8</c:f>
              <c:numCache>
                <c:formatCode>0.0_ </c:formatCode>
                <c:ptCount val="6"/>
                <c:pt idx="0" c:formatCode="0.0_ ">
                  <c:v>0.5</c:v>
                </c:pt>
                <c:pt idx="1" c:formatCode="0.0_ ">
                  <c:v>1</c:v>
                </c:pt>
                <c:pt idx="2" c:formatCode="0.0_ ">
                  <c:v>1.5</c:v>
                </c:pt>
                <c:pt idx="3" c:formatCode="0.0_ ">
                  <c:v>2</c:v>
                </c:pt>
                <c:pt idx="4" c:formatCode="0.0_ ">
                  <c:v>2.5</c:v>
                </c:pt>
                <c:pt idx="5" c:formatCode="0.0_ ">
                  <c:v>3</c:v>
                </c:pt>
              </c:numCache>
            </c:numRef>
          </c:cat>
          <c:val>
            <c:numRef>
              <c:f>Sheet3!$C$10:$H$10</c:f>
              <c:numCache>
                <c:formatCode>0.0_ </c:formatCode>
                <c:ptCount val="6"/>
                <c:pt idx="0">
                  <c:v>67.09</c:v>
                </c:pt>
                <c:pt idx="1">
                  <c:v>67.17</c:v>
                </c:pt>
                <c:pt idx="2">
                  <c:v>68.11</c:v>
                </c:pt>
                <c:pt idx="3">
                  <c:v>66.22</c:v>
                </c:pt>
                <c:pt idx="4">
                  <c:v>65.59</c:v>
                </c:pt>
                <c:pt idx="5">
                  <c:v>65.51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Sheet3!$B$11</c:f>
              <c:strCache>
                <c:ptCount val="1"/>
                <c:pt idx="0">
                  <c:v>simulated map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Sheet3!$C$8:$H$8</c:f>
              <c:numCache>
                <c:formatCode>0.0_ </c:formatCode>
                <c:ptCount val="6"/>
                <c:pt idx="0" c:formatCode="0.0_ ">
                  <c:v>0.5</c:v>
                </c:pt>
                <c:pt idx="1" c:formatCode="0.0_ ">
                  <c:v>1</c:v>
                </c:pt>
                <c:pt idx="2" c:formatCode="0.0_ ">
                  <c:v>1.5</c:v>
                </c:pt>
                <c:pt idx="3" c:formatCode="0.0_ ">
                  <c:v>2</c:v>
                </c:pt>
                <c:pt idx="4" c:formatCode="0.0_ ">
                  <c:v>2.5</c:v>
                </c:pt>
                <c:pt idx="5" c:formatCode="0.0_ ">
                  <c:v>3</c:v>
                </c:pt>
              </c:numCache>
            </c:numRef>
          </c:cat>
          <c:val>
            <c:numRef>
              <c:f>Sheet3!$C$11:$H$11</c:f>
              <c:numCache>
                <c:formatCode>0.0_ </c:formatCode>
                <c:ptCount val="6"/>
                <c:pt idx="0">
                  <c:v>65.82</c:v>
                </c:pt>
                <c:pt idx="1">
                  <c:v>65.04</c:v>
                </c:pt>
                <c:pt idx="2">
                  <c:v>64.25</c:v>
                </c:pt>
                <c:pt idx="3">
                  <c:v>61.33</c:v>
                </c:pt>
                <c:pt idx="4">
                  <c:v>60.38</c:v>
                </c:pt>
                <c:pt idx="5">
                  <c:v>60.93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Sheet3!$B$13</c:f>
              <c:strCache>
                <c:ptCount val="1"/>
                <c:pt idx="0">
                  <c:v>baseline</c:v>
                </c:pt>
              </c:strCache>
            </c:strRef>
          </c:tx>
          <c:spPr>
            <a:ln w="12700" cap="rnd" cmpd="dbl">
              <a:solidFill>
                <a:schemeClr val="accent4"/>
              </a:solidFill>
              <a:prstDash val="sysDot"/>
              <a:round/>
            </a:ln>
            <a:effectLst/>
            <a:sp3d contourW="12700"/>
          </c:spPr>
          <c:marker>
            <c:symbol val="none"/>
          </c:marker>
          <c:dLbls>
            <c:delete val="1"/>
          </c:dLbls>
          <c:cat>
            <c:numRef>
              <c:f>Sheet3!$C$8:$H$8</c:f>
              <c:numCache>
                <c:formatCode>0.0_ </c:formatCode>
                <c:ptCount val="6"/>
                <c:pt idx="0" c:formatCode="0.0_ ">
                  <c:v>0.5</c:v>
                </c:pt>
                <c:pt idx="1" c:formatCode="0.0_ ">
                  <c:v>1</c:v>
                </c:pt>
                <c:pt idx="2" c:formatCode="0.0_ ">
                  <c:v>1.5</c:v>
                </c:pt>
                <c:pt idx="3" c:formatCode="0.0_ ">
                  <c:v>2</c:v>
                </c:pt>
                <c:pt idx="4" c:formatCode="0.0_ ">
                  <c:v>2.5</c:v>
                </c:pt>
                <c:pt idx="5" c:formatCode="0.0_ ">
                  <c:v>3</c:v>
                </c:pt>
              </c:numCache>
            </c:numRef>
          </c:cat>
          <c:val>
            <c:numRef>
              <c:f>Sheet3!$C$13:$H$13</c:f>
              <c:numCache>
                <c:formatCode>0.0_ </c:formatCode>
                <c:ptCount val="6"/>
                <c:pt idx="0">
                  <c:v>67.56</c:v>
                </c:pt>
                <c:pt idx="1">
                  <c:v>67.56</c:v>
                </c:pt>
                <c:pt idx="2">
                  <c:v>67.56</c:v>
                </c:pt>
                <c:pt idx="3">
                  <c:v>67.56</c:v>
                </c:pt>
                <c:pt idx="4">
                  <c:v>67.56</c:v>
                </c:pt>
                <c:pt idx="5">
                  <c:v>67.56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81327784"/>
        <c:axId val="353671250"/>
      </c:lineChart>
      <c:catAx>
        <c:axId val="8813277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3671250"/>
        <c:crosses val="autoZero"/>
        <c:auto val="1"/>
        <c:lblAlgn val="ctr"/>
        <c:lblOffset val="100"/>
        <c:noMultiLvlLbl val="0"/>
      </c:catAx>
      <c:valAx>
        <c:axId val="35367125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1327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7f65e5d-fb52-4aaf-9ba9-0ec808d2d47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ARC-c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Sheet3!$B$16</c:f>
              <c:strCache>
                <c:ptCount val="1"/>
                <c:pt idx="0">
                  <c:v>all 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Sheet3!$C$15:$H$15</c:f>
              <c:numCache>
                <c:formatCode>0.0_ </c:formatCode>
                <c:ptCount val="6"/>
                <c:pt idx="0" c:formatCode="0.0_ ">
                  <c:v>0.5</c:v>
                </c:pt>
                <c:pt idx="1" c:formatCode="0.0_ ">
                  <c:v>1</c:v>
                </c:pt>
                <c:pt idx="2" c:formatCode="0.0_ ">
                  <c:v>1.5</c:v>
                </c:pt>
                <c:pt idx="3" c:formatCode="0.0_ ">
                  <c:v>2</c:v>
                </c:pt>
                <c:pt idx="4" c:formatCode="0.0_ ">
                  <c:v>2.5</c:v>
                </c:pt>
                <c:pt idx="5" c:formatCode="0.0_ ">
                  <c:v>3</c:v>
                </c:pt>
              </c:numCache>
            </c:numRef>
          </c:cat>
          <c:val>
            <c:numRef>
              <c:f>Sheet3!$C$16:$H$16</c:f>
              <c:numCache>
                <c:formatCode>0.0_ </c:formatCode>
                <c:ptCount val="6"/>
                <c:pt idx="0">
                  <c:v>57.97</c:v>
                </c:pt>
                <c:pt idx="1">
                  <c:v>60.34</c:v>
                </c:pt>
                <c:pt idx="2">
                  <c:v>58.64</c:v>
                </c:pt>
                <c:pt idx="3">
                  <c:v>65.08</c:v>
                </c:pt>
                <c:pt idx="4">
                  <c:v>61.36</c:v>
                </c:pt>
                <c:pt idx="5">
                  <c:v>60.68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Sheet3!$B$17</c:f>
              <c:strCache>
                <c:ptCount val="1"/>
                <c:pt idx="0">
                  <c:v>simulated_general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Sheet3!$C$15:$H$15</c:f>
              <c:numCache>
                <c:formatCode>0.0_ </c:formatCode>
                <c:ptCount val="6"/>
                <c:pt idx="0" c:formatCode="0.0_ ">
                  <c:v>0.5</c:v>
                </c:pt>
                <c:pt idx="1" c:formatCode="0.0_ ">
                  <c:v>1</c:v>
                </c:pt>
                <c:pt idx="2" c:formatCode="0.0_ ">
                  <c:v>1.5</c:v>
                </c:pt>
                <c:pt idx="3" c:formatCode="0.0_ ">
                  <c:v>2</c:v>
                </c:pt>
                <c:pt idx="4" c:formatCode="0.0_ ">
                  <c:v>2.5</c:v>
                </c:pt>
                <c:pt idx="5" c:formatCode="0.0_ ">
                  <c:v>3</c:v>
                </c:pt>
              </c:numCache>
            </c:numRef>
          </c:cat>
          <c:val>
            <c:numRef>
              <c:f>Sheet3!$C$17:$H$17</c:f>
              <c:numCache>
                <c:formatCode>0.0_ </c:formatCode>
                <c:ptCount val="6"/>
                <c:pt idx="0">
                  <c:v>61.36</c:v>
                </c:pt>
                <c:pt idx="1">
                  <c:v>56.61</c:v>
                </c:pt>
                <c:pt idx="2">
                  <c:v>58.64</c:v>
                </c:pt>
                <c:pt idx="3">
                  <c:v>63.39</c:v>
                </c:pt>
                <c:pt idx="4">
                  <c:v>58.64</c:v>
                </c:pt>
                <c:pt idx="5">
                  <c:v>63.73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Sheet3!$B$18</c:f>
              <c:strCache>
                <c:ptCount val="1"/>
                <c:pt idx="0">
                  <c:v>simulated map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Sheet3!$C$15:$H$15</c:f>
              <c:numCache>
                <c:formatCode>0.0_ </c:formatCode>
                <c:ptCount val="6"/>
                <c:pt idx="0" c:formatCode="0.0_ ">
                  <c:v>0.5</c:v>
                </c:pt>
                <c:pt idx="1" c:formatCode="0.0_ ">
                  <c:v>1</c:v>
                </c:pt>
                <c:pt idx="2" c:formatCode="0.0_ ">
                  <c:v>1.5</c:v>
                </c:pt>
                <c:pt idx="3" c:formatCode="0.0_ ">
                  <c:v>2</c:v>
                </c:pt>
                <c:pt idx="4" c:formatCode="0.0_ ">
                  <c:v>2.5</c:v>
                </c:pt>
                <c:pt idx="5" c:formatCode="0.0_ ">
                  <c:v>3</c:v>
                </c:pt>
              </c:numCache>
            </c:numRef>
          </c:cat>
          <c:val>
            <c:numRef>
              <c:f>Sheet3!$C$18:$H$18</c:f>
              <c:numCache>
                <c:formatCode>0.0_ </c:formatCode>
                <c:ptCount val="6"/>
                <c:pt idx="0">
                  <c:v>78.31</c:v>
                </c:pt>
                <c:pt idx="1">
                  <c:v>74.58</c:v>
                </c:pt>
                <c:pt idx="2">
                  <c:v>77.29</c:v>
                </c:pt>
                <c:pt idx="3">
                  <c:v>75.59</c:v>
                </c:pt>
                <c:pt idx="4">
                  <c:v>80</c:v>
                </c:pt>
                <c:pt idx="5">
                  <c:v>77.29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Sheet3!$B$20</c:f>
              <c:strCache>
                <c:ptCount val="1"/>
                <c:pt idx="0">
                  <c:v>baseline</c:v>
                </c:pt>
              </c:strCache>
            </c:strRef>
          </c:tx>
          <c:spPr>
            <a:ln w="12700" cap="rnd" cmpd="dbl">
              <a:solidFill>
                <a:schemeClr val="accent4"/>
              </a:solidFill>
              <a:prstDash val="sysDot"/>
              <a:round/>
            </a:ln>
            <a:effectLst/>
            <a:sp3d contourW="12700"/>
          </c:spPr>
          <c:marker>
            <c:symbol val="none"/>
          </c:marker>
          <c:dLbls>
            <c:delete val="1"/>
          </c:dLbls>
          <c:cat>
            <c:numRef>
              <c:f>Sheet3!$C$15:$H$15</c:f>
              <c:numCache>
                <c:formatCode>0.0_ </c:formatCode>
                <c:ptCount val="6"/>
                <c:pt idx="0" c:formatCode="0.0_ ">
                  <c:v>0.5</c:v>
                </c:pt>
                <c:pt idx="1" c:formatCode="0.0_ ">
                  <c:v>1</c:v>
                </c:pt>
                <c:pt idx="2" c:formatCode="0.0_ ">
                  <c:v>1.5</c:v>
                </c:pt>
                <c:pt idx="3" c:formatCode="0.0_ ">
                  <c:v>2</c:v>
                </c:pt>
                <c:pt idx="4" c:formatCode="0.0_ ">
                  <c:v>2.5</c:v>
                </c:pt>
                <c:pt idx="5" c:formatCode="0.0_ ">
                  <c:v>3</c:v>
                </c:pt>
              </c:numCache>
            </c:numRef>
          </c:cat>
          <c:val>
            <c:numRef>
              <c:f>Sheet3!$C$20:$H$20</c:f>
              <c:numCache>
                <c:formatCode>0.0_ </c:formatCode>
                <c:ptCount val="6"/>
                <c:pt idx="0">
                  <c:v>85.76</c:v>
                </c:pt>
                <c:pt idx="1">
                  <c:v>85.76</c:v>
                </c:pt>
                <c:pt idx="2">
                  <c:v>85.76</c:v>
                </c:pt>
                <c:pt idx="3">
                  <c:v>85.76</c:v>
                </c:pt>
                <c:pt idx="4">
                  <c:v>85.76</c:v>
                </c:pt>
                <c:pt idx="5">
                  <c:v>85.76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10100058"/>
        <c:axId val="243667725"/>
      </c:lineChart>
      <c:catAx>
        <c:axId val="81010005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3667725"/>
        <c:crosses val="autoZero"/>
        <c:auto val="1"/>
        <c:lblAlgn val="ctr"/>
        <c:lblOffset val="100"/>
        <c:noMultiLvlLbl val="0"/>
      </c:catAx>
      <c:valAx>
        <c:axId val="24366772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010005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3dc9bad-c000-4f48-b6d4-f6b88b81928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ceval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Sheet3!$B$24</c:f>
              <c:strCache>
                <c:ptCount val="1"/>
                <c:pt idx="0">
                  <c:v>all 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Sheet3!$C$23:$H$23</c:f>
              <c:numCache>
                <c:formatCode>0.0_ </c:formatCode>
                <c:ptCount val="6"/>
                <c:pt idx="0" c:formatCode="0.0_ ">
                  <c:v>0.5</c:v>
                </c:pt>
                <c:pt idx="1" c:formatCode="0.0_ ">
                  <c:v>1</c:v>
                </c:pt>
                <c:pt idx="2" c:formatCode="0.0_ ">
                  <c:v>1.5</c:v>
                </c:pt>
                <c:pt idx="3" c:formatCode="0.0_ ">
                  <c:v>2</c:v>
                </c:pt>
                <c:pt idx="4" c:formatCode="0.0_ ">
                  <c:v>2.5</c:v>
                </c:pt>
                <c:pt idx="5" c:formatCode="0.0_ ">
                  <c:v>3</c:v>
                </c:pt>
              </c:numCache>
            </c:numRef>
          </c:cat>
          <c:val>
            <c:numRef>
              <c:f>Sheet3!$C$24:$H$24</c:f>
              <c:numCache>
                <c:formatCode>0.0_ </c:formatCode>
                <c:ptCount val="6"/>
                <c:pt idx="0">
                  <c:v>78.3446153846154</c:v>
                </c:pt>
                <c:pt idx="1">
                  <c:v>78.1928846153846</c:v>
                </c:pt>
                <c:pt idx="2">
                  <c:v>77.9526923076923</c:v>
                </c:pt>
                <c:pt idx="3">
                  <c:v>78.135</c:v>
                </c:pt>
                <c:pt idx="4">
                  <c:v>77.6705769230769</c:v>
                </c:pt>
                <c:pt idx="5">
                  <c:v>76.9661538461538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Sheet3!$B$25</c:f>
              <c:strCache>
                <c:ptCount val="1"/>
                <c:pt idx="0">
                  <c:v>simulated_general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Sheet3!$C$23:$H$23</c:f>
              <c:numCache>
                <c:formatCode>0.0_ </c:formatCode>
                <c:ptCount val="6"/>
                <c:pt idx="0" c:formatCode="0.0_ ">
                  <c:v>0.5</c:v>
                </c:pt>
                <c:pt idx="1" c:formatCode="0.0_ ">
                  <c:v>1</c:v>
                </c:pt>
                <c:pt idx="2" c:formatCode="0.0_ ">
                  <c:v>1.5</c:v>
                </c:pt>
                <c:pt idx="3" c:formatCode="0.0_ ">
                  <c:v>2</c:v>
                </c:pt>
                <c:pt idx="4" c:formatCode="0.0_ ">
                  <c:v>2.5</c:v>
                </c:pt>
                <c:pt idx="5" c:formatCode="0.0_ ">
                  <c:v>3</c:v>
                </c:pt>
              </c:numCache>
            </c:numRef>
          </c:cat>
          <c:val>
            <c:numRef>
              <c:f>Sheet3!$C$25:$H$25</c:f>
              <c:numCache>
                <c:formatCode>0.0_ </c:formatCode>
                <c:ptCount val="6"/>
                <c:pt idx="0">
                  <c:v>78.8603846153846</c:v>
                </c:pt>
                <c:pt idx="1">
                  <c:v>78.4446153846154</c:v>
                </c:pt>
                <c:pt idx="2">
                  <c:v>78.1023076923077</c:v>
                </c:pt>
                <c:pt idx="3">
                  <c:v>77.6292307692308</c:v>
                </c:pt>
                <c:pt idx="4">
                  <c:v>77.76</c:v>
                </c:pt>
                <c:pt idx="5">
                  <c:v>77.6557692307692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Sheet3!$B$26</c:f>
              <c:strCache>
                <c:ptCount val="1"/>
                <c:pt idx="0">
                  <c:v>simulated map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Sheet3!$C$23:$H$23</c:f>
              <c:numCache>
                <c:formatCode>0.0_ </c:formatCode>
                <c:ptCount val="6"/>
                <c:pt idx="0" c:formatCode="0.0_ ">
                  <c:v>0.5</c:v>
                </c:pt>
                <c:pt idx="1" c:formatCode="0.0_ ">
                  <c:v>1</c:v>
                </c:pt>
                <c:pt idx="2" c:formatCode="0.0_ ">
                  <c:v>1.5</c:v>
                </c:pt>
                <c:pt idx="3" c:formatCode="0.0_ ">
                  <c:v>2</c:v>
                </c:pt>
                <c:pt idx="4" c:formatCode="0.0_ ">
                  <c:v>2.5</c:v>
                </c:pt>
                <c:pt idx="5" c:formatCode="0.0_ ">
                  <c:v>3</c:v>
                </c:pt>
              </c:numCache>
            </c:numRef>
          </c:cat>
          <c:val>
            <c:numRef>
              <c:f>Sheet3!$C$26:$H$26</c:f>
              <c:numCache>
                <c:formatCode>0.0_ </c:formatCode>
                <c:ptCount val="6"/>
                <c:pt idx="0">
                  <c:v>78.76</c:v>
                </c:pt>
                <c:pt idx="1">
                  <c:v>78.2711538461539</c:v>
                </c:pt>
                <c:pt idx="2">
                  <c:v>77.5348076923077</c:v>
                </c:pt>
                <c:pt idx="3">
                  <c:v>77.285</c:v>
                </c:pt>
                <c:pt idx="4">
                  <c:v>77.5365384615385</c:v>
                </c:pt>
                <c:pt idx="5">
                  <c:v>77.0628846153846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Sheet3!$B$28</c:f>
              <c:strCache>
                <c:ptCount val="1"/>
                <c:pt idx="0">
                  <c:v>baseline</c:v>
                </c:pt>
              </c:strCache>
            </c:strRef>
          </c:tx>
          <c:spPr>
            <a:ln w="12700" cap="rnd" cmpd="dbl">
              <a:solidFill>
                <a:schemeClr val="accent4"/>
              </a:solidFill>
              <a:prstDash val="sysDot"/>
              <a:round/>
            </a:ln>
            <a:effectLst/>
            <a:sp3d contourW="12700"/>
          </c:spPr>
          <c:marker>
            <c:symbol val="none"/>
          </c:marker>
          <c:dLbls>
            <c:delete val="1"/>
          </c:dLbls>
          <c:cat>
            <c:numRef>
              <c:f>Sheet3!$C$23:$H$23</c:f>
              <c:numCache>
                <c:formatCode>0.0_ </c:formatCode>
                <c:ptCount val="6"/>
                <c:pt idx="0" c:formatCode="0.0_ ">
                  <c:v>0.5</c:v>
                </c:pt>
                <c:pt idx="1" c:formatCode="0.0_ ">
                  <c:v>1</c:v>
                </c:pt>
                <c:pt idx="2" c:formatCode="0.0_ ">
                  <c:v>1.5</c:v>
                </c:pt>
                <c:pt idx="3" c:formatCode="0.0_ ">
                  <c:v>2</c:v>
                </c:pt>
                <c:pt idx="4" c:formatCode="0.0_ ">
                  <c:v>2.5</c:v>
                </c:pt>
                <c:pt idx="5" c:formatCode="0.0_ ">
                  <c:v>3</c:v>
                </c:pt>
              </c:numCache>
            </c:numRef>
          </c:cat>
          <c:val>
            <c:numRef>
              <c:f>Sheet3!$C$28:$H$28</c:f>
              <c:numCache>
                <c:formatCode>0.0_ </c:formatCode>
                <c:ptCount val="6"/>
                <c:pt idx="0">
                  <c:v>77.9940384615385</c:v>
                </c:pt>
                <c:pt idx="1">
                  <c:v>77.9940384615385</c:v>
                </c:pt>
                <c:pt idx="2">
                  <c:v>77.9940384615385</c:v>
                </c:pt>
                <c:pt idx="3">
                  <c:v>77.9940384615385</c:v>
                </c:pt>
                <c:pt idx="4">
                  <c:v>77.9940384615385</c:v>
                </c:pt>
                <c:pt idx="5">
                  <c:v>77.9940384615385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7293277"/>
        <c:axId val="346470815"/>
      </c:lineChart>
      <c:catAx>
        <c:axId val="5729327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6470815"/>
        <c:crosses val="autoZero"/>
        <c:auto val="1"/>
        <c:lblAlgn val="ctr"/>
        <c:lblOffset val="100"/>
        <c:noMultiLvlLbl val="0"/>
      </c:catAx>
      <c:valAx>
        <c:axId val="346470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29327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9d682ac-cf31-45c3-bf23-47c2bd12882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ceval-hard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Sheet3!$B$31</c:f>
              <c:strCache>
                <c:ptCount val="1"/>
                <c:pt idx="0">
                  <c:v>all 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Sheet3!$C$30:$H$30</c:f>
              <c:numCache>
                <c:formatCode>0.0_ </c:formatCode>
                <c:ptCount val="6"/>
                <c:pt idx="0" c:formatCode="0.0_ ">
                  <c:v>0.5</c:v>
                </c:pt>
                <c:pt idx="1" c:formatCode="0.0_ ">
                  <c:v>1</c:v>
                </c:pt>
                <c:pt idx="2" c:formatCode="0.0_ ">
                  <c:v>1.5</c:v>
                </c:pt>
                <c:pt idx="3" c:formatCode="0.0_ ">
                  <c:v>2</c:v>
                </c:pt>
                <c:pt idx="4" c:formatCode="0.0_ ">
                  <c:v>2.5</c:v>
                </c:pt>
                <c:pt idx="5" c:formatCode="0.0_ ">
                  <c:v>3</c:v>
                </c:pt>
              </c:numCache>
            </c:numRef>
          </c:cat>
          <c:val>
            <c:numRef>
              <c:f>Sheet3!$C$31:$H$31</c:f>
              <c:numCache>
                <c:formatCode>0.0_ </c:formatCode>
                <c:ptCount val="6"/>
                <c:pt idx="0">
                  <c:v>54.14875</c:v>
                </c:pt>
                <c:pt idx="1">
                  <c:v>54.11125</c:v>
                </c:pt>
                <c:pt idx="2">
                  <c:v>54.8425</c:v>
                </c:pt>
                <c:pt idx="3">
                  <c:v>55.49875</c:v>
                </c:pt>
                <c:pt idx="4">
                  <c:v>54.23375</c:v>
                </c:pt>
                <c:pt idx="5">
                  <c:v>53.7125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Sheet3!$B$32</c:f>
              <c:strCache>
                <c:ptCount val="1"/>
                <c:pt idx="0">
                  <c:v>simulated_general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Sheet3!$C$30:$H$30</c:f>
              <c:numCache>
                <c:formatCode>0.0_ </c:formatCode>
                <c:ptCount val="6"/>
                <c:pt idx="0" c:formatCode="0.0_ ">
                  <c:v>0.5</c:v>
                </c:pt>
                <c:pt idx="1" c:formatCode="0.0_ ">
                  <c:v>1</c:v>
                </c:pt>
                <c:pt idx="2" c:formatCode="0.0_ ">
                  <c:v>1.5</c:v>
                </c:pt>
                <c:pt idx="3" c:formatCode="0.0_ ">
                  <c:v>2</c:v>
                </c:pt>
                <c:pt idx="4" c:formatCode="0.0_ ">
                  <c:v>2.5</c:v>
                </c:pt>
                <c:pt idx="5" c:formatCode="0.0_ ">
                  <c:v>3</c:v>
                </c:pt>
              </c:numCache>
            </c:numRef>
          </c:cat>
          <c:val>
            <c:numRef>
              <c:f>Sheet3!$C$32:$H$32</c:f>
              <c:numCache>
                <c:formatCode>0.0_ </c:formatCode>
                <c:ptCount val="6"/>
                <c:pt idx="0">
                  <c:v>57.63375</c:v>
                </c:pt>
                <c:pt idx="1">
                  <c:v>55.8975</c:v>
                </c:pt>
                <c:pt idx="2">
                  <c:v>55.3025</c:v>
                </c:pt>
                <c:pt idx="3">
                  <c:v>53.155</c:v>
                </c:pt>
                <c:pt idx="4">
                  <c:v>55.85875</c:v>
                </c:pt>
                <c:pt idx="5">
                  <c:v>55.76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Sheet3!$B$33</c:f>
              <c:strCache>
                <c:ptCount val="1"/>
                <c:pt idx="0">
                  <c:v>simulated map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Sheet3!$C$30:$H$30</c:f>
              <c:numCache>
                <c:formatCode>0.0_ </c:formatCode>
                <c:ptCount val="6"/>
                <c:pt idx="0" c:formatCode="0.0_ ">
                  <c:v>0.5</c:v>
                </c:pt>
                <c:pt idx="1" c:formatCode="0.0_ ">
                  <c:v>1</c:v>
                </c:pt>
                <c:pt idx="2" c:formatCode="0.0_ ">
                  <c:v>1.5</c:v>
                </c:pt>
                <c:pt idx="3" c:formatCode="0.0_ ">
                  <c:v>2</c:v>
                </c:pt>
                <c:pt idx="4" c:formatCode="0.0_ ">
                  <c:v>2.5</c:v>
                </c:pt>
                <c:pt idx="5" c:formatCode="0.0_ ">
                  <c:v>3</c:v>
                </c:pt>
              </c:numCache>
            </c:numRef>
          </c:cat>
          <c:val>
            <c:numRef>
              <c:f>Sheet3!$C$33:$H$33</c:f>
              <c:numCache>
                <c:formatCode>0.0_ </c:formatCode>
                <c:ptCount val="6"/>
                <c:pt idx="0">
                  <c:v>56.50625</c:v>
                </c:pt>
                <c:pt idx="1">
                  <c:v>55.71</c:v>
                </c:pt>
                <c:pt idx="2">
                  <c:v>52.93125</c:v>
                </c:pt>
                <c:pt idx="3">
                  <c:v>52.37375</c:v>
                </c:pt>
                <c:pt idx="4">
                  <c:v>55.23875</c:v>
                </c:pt>
                <c:pt idx="5">
                  <c:v>52.44875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Sheet3!$B$35</c:f>
              <c:strCache>
                <c:ptCount val="1"/>
                <c:pt idx="0">
                  <c:v>baseline</c:v>
                </c:pt>
              </c:strCache>
            </c:strRef>
          </c:tx>
          <c:spPr>
            <a:ln w="12700" cap="rnd" cmpd="dbl">
              <a:solidFill>
                <a:schemeClr val="accent4"/>
              </a:solidFill>
              <a:prstDash val="sysDot"/>
              <a:round/>
            </a:ln>
            <a:effectLst/>
            <a:sp3d contourW="12700"/>
          </c:spPr>
          <c:marker>
            <c:symbol val="none"/>
          </c:marker>
          <c:dLbls>
            <c:delete val="1"/>
          </c:dLbls>
          <c:cat>
            <c:numRef>
              <c:f>Sheet3!$C$30:$H$30</c:f>
              <c:numCache>
                <c:formatCode>0.0_ </c:formatCode>
                <c:ptCount val="6"/>
                <c:pt idx="0" c:formatCode="0.0_ ">
                  <c:v>0.5</c:v>
                </c:pt>
                <c:pt idx="1" c:formatCode="0.0_ ">
                  <c:v>1</c:v>
                </c:pt>
                <c:pt idx="2" c:formatCode="0.0_ ">
                  <c:v>1.5</c:v>
                </c:pt>
                <c:pt idx="3" c:formatCode="0.0_ ">
                  <c:v>2</c:v>
                </c:pt>
                <c:pt idx="4" c:formatCode="0.0_ ">
                  <c:v>2.5</c:v>
                </c:pt>
                <c:pt idx="5" c:formatCode="0.0_ ">
                  <c:v>3</c:v>
                </c:pt>
              </c:numCache>
            </c:numRef>
          </c:cat>
          <c:val>
            <c:numRef>
              <c:f>Sheet3!$C$35:$H$35</c:f>
              <c:numCache>
                <c:formatCode>0.0_ </c:formatCode>
                <c:ptCount val="6"/>
                <c:pt idx="0">
                  <c:v>51.03625</c:v>
                </c:pt>
                <c:pt idx="1">
                  <c:v>51.03625</c:v>
                </c:pt>
                <c:pt idx="2">
                  <c:v>51.03625</c:v>
                </c:pt>
                <c:pt idx="3">
                  <c:v>51.03625</c:v>
                </c:pt>
                <c:pt idx="4">
                  <c:v>51.03625</c:v>
                </c:pt>
                <c:pt idx="5">
                  <c:v>51.03625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12798600"/>
        <c:axId val="281108866"/>
      </c:lineChart>
      <c:catAx>
        <c:axId val="2127986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1108866"/>
        <c:crosses val="autoZero"/>
        <c:auto val="1"/>
        <c:lblAlgn val="ctr"/>
        <c:lblOffset val="100"/>
        <c:noMultiLvlLbl val="0"/>
      </c:catAx>
      <c:valAx>
        <c:axId val="28110886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2798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990f36d-5685-45dd-bb4b-a89bdd37dcd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99060</xdr:colOff>
      <xdr:row>0</xdr:row>
      <xdr:rowOff>5080</xdr:rowOff>
    </xdr:from>
    <xdr:to>
      <xdr:col>16</xdr:col>
      <xdr:colOff>9525</xdr:colOff>
      <xdr:row>10</xdr:row>
      <xdr:rowOff>67310</xdr:rowOff>
    </xdr:to>
    <xdr:graphicFrame>
      <xdr:nvGraphicFramePr>
        <xdr:cNvPr id="4" name="图表 3"/>
        <xdr:cNvGraphicFramePr/>
      </xdr:nvGraphicFramePr>
      <xdr:xfrm>
        <a:off x="6523355" y="5080"/>
        <a:ext cx="4444365" cy="18942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124460</xdr:colOff>
      <xdr:row>10</xdr:row>
      <xdr:rowOff>149225</xdr:rowOff>
    </xdr:from>
    <xdr:to>
      <xdr:col>15</xdr:col>
      <xdr:colOff>557530</xdr:colOff>
      <xdr:row>25</xdr:row>
      <xdr:rowOff>98425</xdr:rowOff>
    </xdr:to>
    <xdr:graphicFrame>
      <xdr:nvGraphicFramePr>
        <xdr:cNvPr id="5" name="图表 4"/>
        <xdr:cNvGraphicFramePr/>
      </xdr:nvGraphicFramePr>
      <xdr:xfrm>
        <a:off x="6548755" y="1981200"/>
        <a:ext cx="4319270" cy="25996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119380</xdr:colOff>
      <xdr:row>27</xdr:row>
      <xdr:rowOff>58420</xdr:rowOff>
    </xdr:from>
    <xdr:to>
      <xdr:col>15</xdr:col>
      <xdr:colOff>560070</xdr:colOff>
      <xdr:row>43</xdr:row>
      <xdr:rowOff>137160</xdr:rowOff>
    </xdr:to>
    <xdr:graphicFrame>
      <xdr:nvGraphicFramePr>
        <xdr:cNvPr id="6" name="图表 5"/>
        <xdr:cNvGraphicFramePr/>
      </xdr:nvGraphicFramePr>
      <xdr:xfrm>
        <a:off x="6543675" y="4892675"/>
        <a:ext cx="4326890" cy="2901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100965</xdr:colOff>
      <xdr:row>46</xdr:row>
      <xdr:rowOff>10160</xdr:rowOff>
    </xdr:from>
    <xdr:to>
      <xdr:col>6</xdr:col>
      <xdr:colOff>382270</xdr:colOff>
      <xdr:row>63</xdr:row>
      <xdr:rowOff>74930</xdr:rowOff>
    </xdr:to>
    <xdr:graphicFrame>
      <xdr:nvGraphicFramePr>
        <xdr:cNvPr id="7" name="图表 6"/>
        <xdr:cNvGraphicFramePr/>
      </xdr:nvGraphicFramePr>
      <xdr:xfrm>
        <a:off x="100965" y="8181975"/>
        <a:ext cx="4762500" cy="29794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354965</xdr:colOff>
      <xdr:row>46</xdr:row>
      <xdr:rowOff>6350</xdr:rowOff>
    </xdr:from>
    <xdr:to>
      <xdr:col>14</xdr:col>
      <xdr:colOff>647065</xdr:colOff>
      <xdr:row>62</xdr:row>
      <xdr:rowOff>19685</xdr:rowOff>
    </xdr:to>
    <xdr:graphicFrame>
      <xdr:nvGraphicFramePr>
        <xdr:cNvPr id="8" name="图表 7"/>
        <xdr:cNvGraphicFramePr/>
      </xdr:nvGraphicFramePr>
      <xdr:xfrm>
        <a:off x="5483860" y="8178165"/>
        <a:ext cx="4826000" cy="27565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1"/>
  <sheetViews>
    <sheetView tabSelected="1" zoomScaleSheetLayoutView="60" workbookViewId="0">
      <pane xSplit="5" ySplit="1" topLeftCell="I43" activePane="bottomRight" state="frozen"/>
      <selection/>
      <selection pane="topRight"/>
      <selection pane="bottomLeft"/>
      <selection pane="bottomRight" activeCell="Q1" sqref="Q1"/>
    </sheetView>
  </sheetViews>
  <sheetFormatPr defaultColWidth="9.55752212389381" defaultRowHeight="13.5"/>
  <cols>
    <col min="1" max="1" width="50.1681415929204" style="13" customWidth="1"/>
    <col min="2" max="2" width="11.7256637168142" style="13" hidden="1" customWidth="1"/>
    <col min="3" max="3" width="12.4336283185841" style="13" hidden="1" customWidth="1"/>
    <col min="4" max="4" width="10.3008849557522" style="13" hidden="1" customWidth="1"/>
    <col min="5" max="5" width="12.6017699115044" style="13" customWidth="1"/>
    <col min="6" max="7" width="14.5398230088496" style="13" customWidth="1"/>
    <col min="8" max="11" width="15.5398230088496" style="13" customWidth="1"/>
    <col min="12" max="16384" width="9.55752212389381" style="13"/>
  </cols>
  <sheetData>
    <row r="1" ht="74" customHeight="1" spans="1:19">
      <c r="A1" s="14" t="s">
        <v>0</v>
      </c>
      <c r="B1" s="15" t="s">
        <v>1</v>
      </c>
      <c r="C1" s="15" t="s">
        <v>2</v>
      </c>
      <c r="D1" s="15" t="s">
        <v>3</v>
      </c>
      <c r="E1" s="16" t="s">
        <v>4</v>
      </c>
      <c r="F1" s="17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8"/>
      <c r="S1" s="19"/>
    </row>
    <row r="2" ht="22.5" customHeight="1" spans="1:19">
      <c r="A2" s="20" t="s">
        <v>17</v>
      </c>
      <c r="B2" s="21" t="s">
        <v>18</v>
      </c>
      <c r="C2" s="21" t="s">
        <v>19</v>
      </c>
      <c r="D2" s="21" t="s">
        <v>20</v>
      </c>
      <c r="E2" s="22">
        <v>68.42</v>
      </c>
      <c r="F2" s="22">
        <v>68.42</v>
      </c>
      <c r="G2" s="22">
        <v>68.42</v>
      </c>
      <c r="H2" s="22">
        <v>63.16</v>
      </c>
      <c r="I2" s="22">
        <v>57.89</v>
      </c>
      <c r="J2" s="22">
        <v>63.16</v>
      </c>
      <c r="K2" s="22">
        <v>63.16</v>
      </c>
      <c r="L2" s="23">
        <v>68.42</v>
      </c>
      <c r="M2" s="23">
        <v>68.42</v>
      </c>
      <c r="N2" s="23">
        <v>68.42</v>
      </c>
      <c r="O2" s="23">
        <v>63.16</v>
      </c>
      <c r="P2" s="23">
        <v>63.16</v>
      </c>
      <c r="Q2" s="23">
        <v>63.16</v>
      </c>
    </row>
    <row r="3" ht="22.5" customHeight="1" spans="1:19">
      <c r="A3" s="20" t="s">
        <v>21</v>
      </c>
      <c r="B3" s="21" t="s">
        <v>22</v>
      </c>
      <c r="C3" s="21" t="s">
        <v>19</v>
      </c>
      <c r="D3" s="21" t="s">
        <v>20</v>
      </c>
      <c r="E3" s="22">
        <v>84.21</v>
      </c>
      <c r="F3" s="22">
        <v>84.21</v>
      </c>
      <c r="G3" s="22">
        <v>78.95</v>
      </c>
      <c r="H3" s="22">
        <v>78.95</v>
      </c>
      <c r="I3" s="22">
        <v>78.95</v>
      </c>
      <c r="J3" s="22">
        <v>78.95</v>
      </c>
      <c r="K3" s="22">
        <v>73.68</v>
      </c>
      <c r="L3" s="23">
        <v>84.21</v>
      </c>
      <c r="M3" s="23">
        <v>78.95</v>
      </c>
      <c r="N3" s="23">
        <v>73.68</v>
      </c>
      <c r="O3" s="23">
        <v>68.42</v>
      </c>
      <c r="P3" s="23">
        <v>68.42</v>
      </c>
      <c r="Q3" s="23">
        <v>68.42</v>
      </c>
    </row>
    <row r="4" ht="22.5" customHeight="1" spans="1:19">
      <c r="A4" s="20" t="s">
        <v>23</v>
      </c>
      <c r="B4" s="21" t="s">
        <v>24</v>
      </c>
      <c r="C4" s="21" t="s">
        <v>19</v>
      </c>
      <c r="D4" s="21" t="s">
        <v>20</v>
      </c>
      <c r="E4" s="22">
        <v>76.19</v>
      </c>
      <c r="F4" s="22">
        <v>76.19</v>
      </c>
      <c r="G4" s="22">
        <v>76.19</v>
      </c>
      <c r="H4" s="22">
        <v>76.19</v>
      </c>
      <c r="I4" s="22">
        <v>71.43</v>
      </c>
      <c r="J4" s="22">
        <v>76.19</v>
      </c>
      <c r="K4" s="22">
        <v>71.43</v>
      </c>
      <c r="L4" s="23">
        <v>80.95</v>
      </c>
      <c r="M4" s="23">
        <v>80.95</v>
      </c>
      <c r="N4" s="23">
        <v>80.95</v>
      </c>
      <c r="O4" s="23">
        <v>80.95</v>
      </c>
      <c r="P4" s="23">
        <v>76.19</v>
      </c>
      <c r="Q4" s="23">
        <v>76.19</v>
      </c>
    </row>
    <row r="5" ht="22.5" customHeight="1" spans="1:19">
      <c r="A5" s="20" t="s">
        <v>25</v>
      </c>
      <c r="B5" s="21" t="s">
        <v>26</v>
      </c>
      <c r="C5" s="21" t="s">
        <v>19</v>
      </c>
      <c r="D5" s="21" t="s">
        <v>20</v>
      </c>
      <c r="E5" s="22">
        <v>83.78</v>
      </c>
      <c r="F5" s="22">
        <v>89.19</v>
      </c>
      <c r="G5" s="22">
        <v>86.49</v>
      </c>
      <c r="H5" s="22">
        <v>86.49</v>
      </c>
      <c r="I5" s="22">
        <v>83.78</v>
      </c>
      <c r="J5" s="22">
        <v>86.49</v>
      </c>
      <c r="K5" s="22">
        <v>86.49</v>
      </c>
      <c r="L5" s="23">
        <v>86.49</v>
      </c>
      <c r="M5" s="23">
        <v>81.08</v>
      </c>
      <c r="N5" s="23">
        <v>83.78</v>
      </c>
      <c r="O5" s="23">
        <v>83.78</v>
      </c>
      <c r="P5" s="23">
        <v>83.78</v>
      </c>
      <c r="Q5" s="23">
        <v>83.78</v>
      </c>
    </row>
    <row r="6" ht="22.5" customHeight="1" spans="1:19">
      <c r="A6" s="20" t="s">
        <v>27</v>
      </c>
      <c r="B6" s="21" t="s">
        <v>28</v>
      </c>
      <c r="C6" s="21" t="s">
        <v>19</v>
      </c>
      <c r="D6" s="21" t="s">
        <v>20</v>
      </c>
      <c r="E6" s="22">
        <v>68.42</v>
      </c>
      <c r="F6" s="22">
        <v>73.68</v>
      </c>
      <c r="G6" s="22">
        <v>73.68</v>
      </c>
      <c r="H6" s="22">
        <v>73.68</v>
      </c>
      <c r="I6" s="22">
        <v>63.16</v>
      </c>
      <c r="J6" s="22">
        <v>73.68</v>
      </c>
      <c r="K6" s="22">
        <v>68.42</v>
      </c>
      <c r="L6" s="23">
        <v>73.68</v>
      </c>
      <c r="M6" s="23">
        <v>68.42</v>
      </c>
      <c r="N6" s="23">
        <v>63.16</v>
      </c>
      <c r="O6" s="23">
        <v>63.16</v>
      </c>
      <c r="P6" s="23">
        <v>63.16</v>
      </c>
      <c r="Q6" s="23">
        <v>63.16</v>
      </c>
    </row>
    <row r="7" ht="22.5" customHeight="1" spans="1:19">
      <c r="A7" s="20" t="s">
        <v>29</v>
      </c>
      <c r="B7" s="21" t="s">
        <v>30</v>
      </c>
      <c r="C7" s="21" t="s">
        <v>19</v>
      </c>
      <c r="D7" s="21" t="s">
        <v>20</v>
      </c>
      <c r="E7" s="22">
        <v>70.83</v>
      </c>
      <c r="F7" s="22">
        <v>66.67</v>
      </c>
      <c r="G7" s="22">
        <v>58.33</v>
      </c>
      <c r="H7" s="22">
        <v>54.17</v>
      </c>
      <c r="I7" s="22">
        <v>58.33</v>
      </c>
      <c r="J7" s="22">
        <v>58.33</v>
      </c>
      <c r="K7" s="22">
        <v>62.5</v>
      </c>
      <c r="L7" s="23">
        <v>62.5</v>
      </c>
      <c r="M7" s="23">
        <v>62.5</v>
      </c>
      <c r="N7" s="23">
        <v>62.5</v>
      </c>
      <c r="O7" s="23">
        <v>62.5</v>
      </c>
      <c r="P7" s="23">
        <v>62.5</v>
      </c>
      <c r="Q7" s="23">
        <v>62.5</v>
      </c>
    </row>
    <row r="8" ht="22.5" customHeight="1" spans="1:19">
      <c r="A8" s="20" t="s">
        <v>31</v>
      </c>
      <c r="B8" s="21" t="s">
        <v>32</v>
      </c>
      <c r="C8" s="21" t="s">
        <v>19</v>
      </c>
      <c r="D8" s="21" t="s">
        <v>20</v>
      </c>
      <c r="E8" s="22">
        <v>47.37</v>
      </c>
      <c r="F8" s="22">
        <v>47.37</v>
      </c>
      <c r="G8" s="22">
        <v>47.37</v>
      </c>
      <c r="H8" s="22">
        <v>52.63</v>
      </c>
      <c r="I8" s="22">
        <v>47.37</v>
      </c>
      <c r="J8" s="22">
        <v>47.37</v>
      </c>
      <c r="K8" s="22">
        <v>47.37</v>
      </c>
      <c r="L8" s="23">
        <v>26.32</v>
      </c>
      <c r="M8" s="23">
        <v>36.84</v>
      </c>
      <c r="N8" s="23">
        <v>31.58</v>
      </c>
      <c r="O8" s="23">
        <v>26.32</v>
      </c>
      <c r="P8" s="23">
        <v>26.32</v>
      </c>
      <c r="Q8" s="23">
        <v>26.32</v>
      </c>
    </row>
    <row r="9" ht="22.5" customHeight="1" spans="1:19">
      <c r="A9" s="20" t="s">
        <v>33</v>
      </c>
      <c r="B9" s="21" t="s">
        <v>34</v>
      </c>
      <c r="C9" s="21" t="s">
        <v>19</v>
      </c>
      <c r="D9" s="21" t="s">
        <v>20</v>
      </c>
      <c r="E9" s="22">
        <v>27.78</v>
      </c>
      <c r="F9" s="22">
        <v>44.44</v>
      </c>
      <c r="G9" s="22">
        <v>38.89</v>
      </c>
      <c r="H9" s="22">
        <v>38.89</v>
      </c>
      <c r="I9" s="22">
        <v>44.44</v>
      </c>
      <c r="J9" s="22">
        <v>44.44</v>
      </c>
      <c r="K9" s="22">
        <v>50</v>
      </c>
      <c r="L9" s="23">
        <v>44.44</v>
      </c>
      <c r="M9" s="23">
        <v>44.44</v>
      </c>
      <c r="N9" s="23">
        <v>55.56</v>
      </c>
      <c r="O9" s="23">
        <v>55.56</v>
      </c>
      <c r="P9" s="23">
        <v>55.56</v>
      </c>
      <c r="Q9" s="23">
        <v>55.56</v>
      </c>
    </row>
    <row r="10" ht="22.5" customHeight="1" spans="1:19">
      <c r="A10" s="20" t="s">
        <v>35</v>
      </c>
      <c r="B10" s="21" t="s">
        <v>36</v>
      </c>
      <c r="C10" s="21" t="s">
        <v>19</v>
      </c>
      <c r="D10" s="21" t="s">
        <v>20</v>
      </c>
      <c r="E10" s="22">
        <v>18.75</v>
      </c>
      <c r="F10" s="22">
        <v>31.25</v>
      </c>
      <c r="G10" s="22">
        <v>31.25</v>
      </c>
      <c r="H10" s="22">
        <v>31.25</v>
      </c>
      <c r="I10" s="22">
        <v>31.25</v>
      </c>
      <c r="J10" s="22">
        <v>31.25</v>
      </c>
      <c r="K10" s="22">
        <v>31.25</v>
      </c>
      <c r="L10" s="23">
        <v>18.75</v>
      </c>
      <c r="M10" s="23">
        <v>18.75</v>
      </c>
      <c r="N10" s="23">
        <v>18.75</v>
      </c>
      <c r="O10" s="23">
        <v>18.75</v>
      </c>
      <c r="P10" s="23">
        <v>18.75</v>
      </c>
      <c r="Q10" s="23">
        <v>18.75</v>
      </c>
    </row>
    <row r="11" ht="22.5" customHeight="1" spans="1:19">
      <c r="A11" s="20" t="s">
        <v>37</v>
      </c>
      <c r="B11" s="21" t="s">
        <v>38</v>
      </c>
      <c r="C11" s="21" t="s">
        <v>19</v>
      </c>
      <c r="D11" s="21" t="s">
        <v>20</v>
      </c>
      <c r="E11" s="22">
        <v>62.16</v>
      </c>
      <c r="F11" s="22">
        <v>70.27</v>
      </c>
      <c r="G11" s="22">
        <v>70.27</v>
      </c>
      <c r="H11" s="22">
        <v>70.27</v>
      </c>
      <c r="I11" s="22">
        <v>70.27</v>
      </c>
      <c r="J11" s="22">
        <v>70.27</v>
      </c>
      <c r="K11" s="22">
        <v>72.97</v>
      </c>
      <c r="L11" s="23">
        <v>67.57</v>
      </c>
      <c r="M11" s="23">
        <v>67.57</v>
      </c>
      <c r="N11" s="23">
        <v>67.57</v>
      </c>
      <c r="O11" s="23">
        <v>67.57</v>
      </c>
      <c r="P11" s="23">
        <v>67.57</v>
      </c>
      <c r="Q11" s="23">
        <v>67.57</v>
      </c>
    </row>
    <row r="12" ht="22.5" customHeight="1" spans="1:19">
      <c r="A12" s="20" t="s">
        <v>39</v>
      </c>
      <c r="B12" s="21" t="s">
        <v>40</v>
      </c>
      <c r="C12" s="21" t="s">
        <v>19</v>
      </c>
      <c r="D12" s="21" t="s">
        <v>20</v>
      </c>
      <c r="E12" s="22">
        <v>83.33</v>
      </c>
      <c r="F12" s="22">
        <v>87.5</v>
      </c>
      <c r="G12" s="22">
        <v>87.5</v>
      </c>
      <c r="H12" s="22">
        <v>87.5</v>
      </c>
      <c r="I12" s="22">
        <v>87.5</v>
      </c>
      <c r="J12" s="22">
        <v>91.67</v>
      </c>
      <c r="K12" s="22">
        <v>87.5</v>
      </c>
      <c r="L12" s="23">
        <v>87.5</v>
      </c>
      <c r="M12" s="23">
        <v>83.33</v>
      </c>
      <c r="N12" s="23">
        <v>83.33</v>
      </c>
      <c r="O12" s="23">
        <v>83.33</v>
      </c>
      <c r="P12" s="23">
        <v>83.33</v>
      </c>
      <c r="Q12" s="23">
        <v>83.33</v>
      </c>
    </row>
    <row r="13" ht="22.5" customHeight="1" spans="1:19">
      <c r="A13" s="20" t="s">
        <v>41</v>
      </c>
      <c r="B13" s="21" t="s">
        <v>42</v>
      </c>
      <c r="C13" s="21" t="s">
        <v>19</v>
      </c>
      <c r="D13" s="21" t="s">
        <v>20</v>
      </c>
      <c r="E13" s="22">
        <v>27.78</v>
      </c>
      <c r="F13" s="22">
        <v>55.56</v>
      </c>
      <c r="G13" s="22">
        <v>55.56</v>
      </c>
      <c r="H13" s="22">
        <v>44.44</v>
      </c>
      <c r="I13" s="22">
        <v>33.33</v>
      </c>
      <c r="J13" s="22">
        <v>44.44</v>
      </c>
      <c r="K13" s="22">
        <v>44.44</v>
      </c>
      <c r="L13" s="23">
        <v>38.89</v>
      </c>
      <c r="M13" s="23">
        <v>44.44</v>
      </c>
      <c r="N13" s="23">
        <v>44.44</v>
      </c>
      <c r="O13" s="23">
        <v>44.44</v>
      </c>
      <c r="P13" s="23">
        <v>44.44</v>
      </c>
      <c r="Q13" s="23">
        <v>44.44</v>
      </c>
    </row>
    <row r="14" ht="22.5" customHeight="1" spans="1:19">
      <c r="A14" s="20" t="s">
        <v>43</v>
      </c>
      <c r="B14" s="21" t="s">
        <v>44</v>
      </c>
      <c r="C14" s="21" t="s">
        <v>19</v>
      </c>
      <c r="D14" s="21" t="s">
        <v>20</v>
      </c>
      <c r="E14" s="22">
        <v>73.68</v>
      </c>
      <c r="F14" s="22">
        <v>68.42</v>
      </c>
      <c r="G14" s="22">
        <v>68.42</v>
      </c>
      <c r="H14" s="22">
        <v>73.68</v>
      </c>
      <c r="I14" s="22">
        <v>73.68</v>
      </c>
      <c r="J14" s="22">
        <v>73.68</v>
      </c>
      <c r="K14" s="22">
        <v>73.68</v>
      </c>
      <c r="L14" s="23">
        <v>78.95</v>
      </c>
      <c r="M14" s="23">
        <v>78.95</v>
      </c>
      <c r="N14" s="23">
        <v>78.95</v>
      </c>
      <c r="O14" s="23">
        <v>73.68</v>
      </c>
      <c r="P14" s="23">
        <v>73.68</v>
      </c>
      <c r="Q14" s="23">
        <v>73.68</v>
      </c>
    </row>
    <row r="15" ht="22.5" customHeight="1" spans="1:19">
      <c r="A15" s="20" t="s">
        <v>45</v>
      </c>
      <c r="B15" s="21" t="s">
        <v>46</v>
      </c>
      <c r="C15" s="21" t="s">
        <v>19</v>
      </c>
      <c r="D15" s="21" t="s">
        <v>20</v>
      </c>
      <c r="E15" s="22">
        <v>73.68</v>
      </c>
      <c r="F15" s="22">
        <v>73.68</v>
      </c>
      <c r="G15" s="22">
        <v>73.68</v>
      </c>
      <c r="H15" s="22">
        <v>73.68</v>
      </c>
      <c r="I15" s="22">
        <v>73.68</v>
      </c>
      <c r="J15" s="22">
        <v>73.68</v>
      </c>
      <c r="K15" s="22">
        <v>68.42</v>
      </c>
      <c r="L15" s="23">
        <v>78.95</v>
      </c>
      <c r="M15" s="23">
        <v>78.95</v>
      </c>
      <c r="N15" s="23">
        <v>73.68</v>
      </c>
      <c r="O15" s="23">
        <v>78.95</v>
      </c>
      <c r="P15" s="23">
        <v>78.95</v>
      </c>
      <c r="Q15" s="23">
        <v>78.95</v>
      </c>
    </row>
    <row r="16" ht="22.5" customHeight="1" spans="1:19">
      <c r="A16" s="20" t="s">
        <v>47</v>
      </c>
      <c r="B16" s="21" t="s">
        <v>48</v>
      </c>
      <c r="C16" s="21" t="s">
        <v>19</v>
      </c>
      <c r="D16" s="21" t="s">
        <v>20</v>
      </c>
      <c r="E16" s="22">
        <v>89.47</v>
      </c>
      <c r="F16" s="22">
        <v>78.95</v>
      </c>
      <c r="G16" s="22">
        <v>84.21</v>
      </c>
      <c r="H16" s="22">
        <v>84.21</v>
      </c>
      <c r="I16" s="22">
        <v>94.74</v>
      </c>
      <c r="J16" s="22">
        <v>89.47</v>
      </c>
      <c r="K16" s="22">
        <v>94.74</v>
      </c>
      <c r="L16" s="23">
        <v>84.21</v>
      </c>
      <c r="M16" s="23">
        <v>84.21</v>
      </c>
      <c r="N16" s="23">
        <v>84.21</v>
      </c>
      <c r="O16" s="23">
        <v>89.47</v>
      </c>
      <c r="P16" s="23">
        <v>89.47</v>
      </c>
      <c r="Q16" s="23">
        <v>89.47</v>
      </c>
    </row>
    <row r="17" ht="22.5" customHeight="1" spans="1:17">
      <c r="A17" s="20" t="s">
        <v>49</v>
      </c>
      <c r="B17" s="21" t="s">
        <v>50</v>
      </c>
      <c r="C17" s="21" t="s">
        <v>19</v>
      </c>
      <c r="D17" s="21" t="s">
        <v>20</v>
      </c>
      <c r="E17" s="22">
        <v>73.68</v>
      </c>
      <c r="F17" s="22">
        <v>68.42</v>
      </c>
      <c r="G17" s="22">
        <v>68.42</v>
      </c>
      <c r="H17" s="22">
        <v>63.16</v>
      </c>
      <c r="I17" s="22">
        <v>68.42</v>
      </c>
      <c r="J17" s="22">
        <v>63.16</v>
      </c>
      <c r="K17" s="22">
        <v>63.16</v>
      </c>
      <c r="L17" s="23">
        <v>78.95</v>
      </c>
      <c r="M17" s="23">
        <v>84.21</v>
      </c>
      <c r="N17" s="23">
        <v>84.21</v>
      </c>
      <c r="O17" s="23">
        <v>84.21</v>
      </c>
      <c r="P17" s="23">
        <v>84.21</v>
      </c>
      <c r="Q17" s="23">
        <v>84.21</v>
      </c>
    </row>
    <row r="18" ht="22.5" customHeight="1" spans="1:17">
      <c r="A18" s="20" t="s">
        <v>51</v>
      </c>
      <c r="B18" s="21" t="s">
        <v>52</v>
      </c>
      <c r="C18" s="21" t="s">
        <v>19</v>
      </c>
      <c r="D18" s="21" t="s">
        <v>20</v>
      </c>
      <c r="E18" s="22">
        <v>95.24</v>
      </c>
      <c r="F18" s="22">
        <v>90.48</v>
      </c>
      <c r="G18" s="22">
        <v>90.48</v>
      </c>
      <c r="H18" s="22">
        <v>90.48</v>
      </c>
      <c r="I18" s="22">
        <v>90.48</v>
      </c>
      <c r="J18" s="22">
        <v>90.48</v>
      </c>
      <c r="K18" s="22">
        <v>90.48</v>
      </c>
      <c r="L18" s="23">
        <v>90.48</v>
      </c>
      <c r="M18" s="23">
        <v>90.48</v>
      </c>
      <c r="N18" s="23">
        <v>90.48</v>
      </c>
      <c r="O18" s="23">
        <v>90.48</v>
      </c>
      <c r="P18" s="23">
        <v>90.48</v>
      </c>
      <c r="Q18" s="23">
        <v>90.48</v>
      </c>
    </row>
    <row r="19" ht="22.5" customHeight="1" spans="1:17">
      <c r="A19" s="20" t="s">
        <v>53</v>
      </c>
      <c r="B19" s="21" t="s">
        <v>54</v>
      </c>
      <c r="C19" s="21" t="s">
        <v>19</v>
      </c>
      <c r="D19" s="21" t="s">
        <v>20</v>
      </c>
      <c r="E19" s="22">
        <v>94.74</v>
      </c>
      <c r="F19" s="22">
        <v>94.74</v>
      </c>
      <c r="G19" s="22">
        <v>94.74</v>
      </c>
      <c r="H19" s="22">
        <v>94.74</v>
      </c>
      <c r="I19" s="22">
        <v>94.74</v>
      </c>
      <c r="J19" s="22">
        <v>94.74</v>
      </c>
      <c r="K19" s="22">
        <v>94.74</v>
      </c>
      <c r="L19" s="23">
        <v>94.74</v>
      </c>
      <c r="M19" s="23">
        <v>94.74</v>
      </c>
      <c r="N19" s="23">
        <v>94.74</v>
      </c>
      <c r="O19" s="23">
        <v>94.74</v>
      </c>
      <c r="P19" s="23">
        <v>94.74</v>
      </c>
      <c r="Q19" s="23">
        <v>94.74</v>
      </c>
    </row>
    <row r="20" ht="22.5" customHeight="1" spans="1:17">
      <c r="A20" s="20" t="s">
        <v>55</v>
      </c>
      <c r="B20" s="21" t="s">
        <v>56</v>
      </c>
      <c r="C20" s="21" t="s">
        <v>19</v>
      </c>
      <c r="D20" s="21" t="s">
        <v>20</v>
      </c>
      <c r="E20" s="22">
        <v>95</v>
      </c>
      <c r="F20" s="22">
        <v>95</v>
      </c>
      <c r="G20" s="22">
        <v>95</v>
      </c>
      <c r="H20" s="22">
        <v>90</v>
      </c>
      <c r="I20" s="22">
        <v>90</v>
      </c>
      <c r="J20" s="22">
        <v>90</v>
      </c>
      <c r="K20" s="22">
        <v>90</v>
      </c>
      <c r="L20" s="23">
        <v>95</v>
      </c>
      <c r="M20" s="23">
        <v>95</v>
      </c>
      <c r="N20" s="23">
        <v>95</v>
      </c>
      <c r="O20" s="23">
        <v>95</v>
      </c>
      <c r="P20" s="23">
        <v>95</v>
      </c>
      <c r="Q20" s="23">
        <v>95</v>
      </c>
    </row>
    <row r="21" ht="22.5" customHeight="1" spans="1:17">
      <c r="A21" s="20" t="s">
        <v>57</v>
      </c>
      <c r="B21" s="21" t="s">
        <v>58</v>
      </c>
      <c r="C21" s="21" t="s">
        <v>19</v>
      </c>
      <c r="D21" s="21" t="s">
        <v>20</v>
      </c>
      <c r="E21" s="22">
        <v>78.26</v>
      </c>
      <c r="F21" s="22">
        <v>78.26</v>
      </c>
      <c r="G21" s="22">
        <v>78.26</v>
      </c>
      <c r="H21" s="22">
        <v>78.26</v>
      </c>
      <c r="I21" s="22">
        <v>78.26</v>
      </c>
      <c r="J21" s="22">
        <v>78.26</v>
      </c>
      <c r="K21" s="22">
        <v>82.61</v>
      </c>
      <c r="L21" s="23">
        <v>73.91</v>
      </c>
      <c r="M21" s="23">
        <v>73.91</v>
      </c>
      <c r="N21" s="23">
        <v>69.57</v>
      </c>
      <c r="O21" s="23">
        <v>69.57</v>
      </c>
      <c r="P21" s="23">
        <v>69.57</v>
      </c>
      <c r="Q21" s="23">
        <v>69.57</v>
      </c>
    </row>
    <row r="22" ht="22.5" customHeight="1" spans="1:17">
      <c r="A22" s="20" t="s">
        <v>59</v>
      </c>
      <c r="B22" s="21" t="s">
        <v>60</v>
      </c>
      <c r="C22" s="21" t="s">
        <v>19</v>
      </c>
      <c r="D22" s="21" t="s">
        <v>20</v>
      </c>
      <c r="E22" s="22">
        <v>70.91</v>
      </c>
      <c r="F22" s="22">
        <v>69.09</v>
      </c>
      <c r="G22" s="22">
        <v>70.91</v>
      </c>
      <c r="H22" s="22">
        <v>70.91</v>
      </c>
      <c r="I22" s="22">
        <v>67.27</v>
      </c>
      <c r="J22" s="22">
        <v>65.45</v>
      </c>
      <c r="K22" s="22">
        <v>70.91</v>
      </c>
      <c r="L22" s="23">
        <v>69.09</v>
      </c>
      <c r="M22" s="23">
        <v>70.91</v>
      </c>
      <c r="N22" s="23">
        <v>72.73</v>
      </c>
      <c r="O22" s="23">
        <v>70.91</v>
      </c>
      <c r="P22" s="23">
        <v>74.55</v>
      </c>
      <c r="Q22" s="23">
        <v>74.55</v>
      </c>
    </row>
    <row r="23" ht="22.5" customHeight="1" spans="1:17">
      <c r="A23" s="20" t="s">
        <v>61</v>
      </c>
      <c r="B23" s="21" t="s">
        <v>62</v>
      </c>
      <c r="C23" s="21" t="s">
        <v>19</v>
      </c>
      <c r="D23" s="21" t="s">
        <v>20</v>
      </c>
      <c r="E23" s="22">
        <v>87.88</v>
      </c>
      <c r="F23" s="22">
        <v>78.79</v>
      </c>
      <c r="G23" s="22">
        <v>75.76</v>
      </c>
      <c r="H23" s="22">
        <v>81.82</v>
      </c>
      <c r="I23" s="22">
        <v>78.79</v>
      </c>
      <c r="J23" s="22">
        <v>75.76</v>
      </c>
      <c r="K23" s="22">
        <v>75.76</v>
      </c>
      <c r="L23" s="23">
        <v>81.82</v>
      </c>
      <c r="M23" s="23">
        <v>78.79</v>
      </c>
      <c r="N23" s="23">
        <v>78.79</v>
      </c>
      <c r="O23" s="23">
        <v>78.79</v>
      </c>
      <c r="P23" s="23">
        <v>78.79</v>
      </c>
      <c r="Q23" s="23">
        <v>78.79</v>
      </c>
    </row>
    <row r="24" ht="22.5" customHeight="1" spans="1:17">
      <c r="A24" s="20" t="s">
        <v>63</v>
      </c>
      <c r="B24" s="21" t="s">
        <v>64</v>
      </c>
      <c r="C24" s="21" t="s">
        <v>19</v>
      </c>
      <c r="D24" s="21" t="s">
        <v>20</v>
      </c>
      <c r="E24" s="22">
        <v>94.74</v>
      </c>
      <c r="F24" s="22">
        <v>94.74</v>
      </c>
      <c r="G24" s="22">
        <v>94.74</v>
      </c>
      <c r="H24" s="22">
        <v>94.74</v>
      </c>
      <c r="I24" s="22">
        <v>94.74</v>
      </c>
      <c r="J24" s="22">
        <v>94.74</v>
      </c>
      <c r="K24" s="22">
        <v>94.74</v>
      </c>
      <c r="L24" s="23">
        <v>94.74</v>
      </c>
      <c r="M24" s="23">
        <v>94.74</v>
      </c>
      <c r="N24" s="23">
        <v>94.74</v>
      </c>
      <c r="O24" s="23">
        <v>94.74</v>
      </c>
      <c r="P24" s="23">
        <v>94.74</v>
      </c>
      <c r="Q24" s="23">
        <v>94.74</v>
      </c>
    </row>
    <row r="25" ht="22.5" customHeight="1" spans="1:17">
      <c r="A25" s="20" t="s">
        <v>65</v>
      </c>
      <c r="B25" s="21" t="s">
        <v>66</v>
      </c>
      <c r="C25" s="21" t="s">
        <v>19</v>
      </c>
      <c r="D25" s="21" t="s">
        <v>20</v>
      </c>
      <c r="E25" s="22">
        <v>95.83</v>
      </c>
      <c r="F25" s="22">
        <v>91.67</v>
      </c>
      <c r="G25" s="22">
        <v>91.67</v>
      </c>
      <c r="H25" s="22">
        <v>91.67</v>
      </c>
      <c r="I25" s="22">
        <v>95.83</v>
      </c>
      <c r="J25" s="22">
        <v>95.83</v>
      </c>
      <c r="K25" s="22">
        <v>95.83</v>
      </c>
      <c r="L25" s="23">
        <v>91.67</v>
      </c>
      <c r="M25" s="23">
        <v>91.67</v>
      </c>
      <c r="N25" s="23">
        <v>91.67</v>
      </c>
      <c r="O25" s="23">
        <v>95.83</v>
      </c>
      <c r="P25" s="23">
        <v>95.83</v>
      </c>
      <c r="Q25" s="23">
        <v>95.83</v>
      </c>
    </row>
    <row r="26" ht="22.5" customHeight="1" spans="1:17">
      <c r="A26" s="20" t="s">
        <v>67</v>
      </c>
      <c r="B26" s="21" t="s">
        <v>68</v>
      </c>
      <c r="C26" s="21" t="s">
        <v>19</v>
      </c>
      <c r="D26" s="21" t="s">
        <v>20</v>
      </c>
      <c r="E26" s="22">
        <v>82.76</v>
      </c>
      <c r="F26" s="22">
        <v>93.1</v>
      </c>
      <c r="G26" s="22">
        <v>93.1</v>
      </c>
      <c r="H26" s="22">
        <v>89.66</v>
      </c>
      <c r="I26" s="22">
        <v>86.21</v>
      </c>
      <c r="J26" s="22">
        <v>86.21</v>
      </c>
      <c r="K26" s="22">
        <v>86.21</v>
      </c>
      <c r="L26" s="23">
        <v>96.55</v>
      </c>
      <c r="M26" s="23">
        <v>86.21</v>
      </c>
      <c r="N26" s="23">
        <v>86.21</v>
      </c>
      <c r="O26" s="23">
        <v>82.76</v>
      </c>
      <c r="P26" s="23">
        <v>82.76</v>
      </c>
      <c r="Q26" s="23">
        <v>82.76</v>
      </c>
    </row>
    <row r="27" ht="22.5" customHeight="1" spans="1:17">
      <c r="A27" s="20" t="s">
        <v>69</v>
      </c>
      <c r="B27" s="21" t="s">
        <v>70</v>
      </c>
      <c r="C27" s="21" t="s">
        <v>19</v>
      </c>
      <c r="D27" s="21" t="s">
        <v>20</v>
      </c>
      <c r="E27" s="22">
        <v>90.91</v>
      </c>
      <c r="F27" s="22">
        <v>90.91</v>
      </c>
      <c r="G27" s="22">
        <v>88.64</v>
      </c>
      <c r="H27" s="22">
        <v>90.91</v>
      </c>
      <c r="I27" s="22">
        <v>90.91</v>
      </c>
      <c r="J27" s="22">
        <v>90.91</v>
      </c>
      <c r="K27" s="22">
        <v>88.64</v>
      </c>
      <c r="L27" s="23">
        <v>86.36</v>
      </c>
      <c r="M27" s="23">
        <v>86.36</v>
      </c>
      <c r="N27" s="23">
        <v>86.36</v>
      </c>
      <c r="O27" s="23">
        <v>86.36</v>
      </c>
      <c r="P27" s="23">
        <v>86.36</v>
      </c>
      <c r="Q27" s="23">
        <v>86.36</v>
      </c>
    </row>
    <row r="28" ht="22.5" customHeight="1" spans="1:17">
      <c r="A28" s="20" t="s">
        <v>71</v>
      </c>
      <c r="B28" s="21" t="s">
        <v>72</v>
      </c>
      <c r="C28" s="21" t="s">
        <v>19</v>
      </c>
      <c r="D28" s="21" t="s">
        <v>20</v>
      </c>
      <c r="E28" s="22">
        <v>89.47</v>
      </c>
      <c r="F28" s="22">
        <v>94.74</v>
      </c>
      <c r="G28" s="22">
        <v>94.74</v>
      </c>
      <c r="H28" s="22">
        <v>94.74</v>
      </c>
      <c r="I28" s="22">
        <v>94.74</v>
      </c>
      <c r="J28" s="22">
        <v>89.47</v>
      </c>
      <c r="K28" s="22">
        <v>94.74</v>
      </c>
      <c r="L28" s="23">
        <v>94.74</v>
      </c>
      <c r="M28" s="23">
        <v>94.74</v>
      </c>
      <c r="N28" s="23">
        <v>94.74</v>
      </c>
      <c r="O28" s="23">
        <v>94.74</v>
      </c>
      <c r="P28" s="23">
        <v>94.74</v>
      </c>
      <c r="Q28" s="23">
        <v>94.74</v>
      </c>
    </row>
    <row r="29" ht="22.5" customHeight="1" spans="1:17">
      <c r="A29" s="20" t="s">
        <v>73</v>
      </c>
      <c r="B29" s="21">
        <v>865461</v>
      </c>
      <c r="C29" s="21" t="s">
        <v>19</v>
      </c>
      <c r="D29" s="21" t="s">
        <v>20</v>
      </c>
      <c r="E29" s="22">
        <v>89.47</v>
      </c>
      <c r="F29" s="22">
        <v>94.74</v>
      </c>
      <c r="G29" s="22">
        <v>94.74</v>
      </c>
      <c r="H29" s="22">
        <v>89.47</v>
      </c>
      <c r="I29" s="22">
        <v>89.47</v>
      </c>
      <c r="J29" s="22">
        <v>89.47</v>
      </c>
      <c r="K29" s="22">
        <v>89.47</v>
      </c>
      <c r="L29" s="23">
        <v>89.47</v>
      </c>
      <c r="M29" s="23">
        <v>89.47</v>
      </c>
      <c r="N29" s="23">
        <v>89.47</v>
      </c>
      <c r="O29" s="23">
        <v>89.47</v>
      </c>
      <c r="P29" s="23">
        <v>89.47</v>
      </c>
      <c r="Q29" s="23">
        <v>89.47</v>
      </c>
    </row>
    <row r="30" ht="22.5" customHeight="1" spans="1:17">
      <c r="A30" s="20" t="s">
        <v>74</v>
      </c>
      <c r="B30" s="21" t="s">
        <v>75</v>
      </c>
      <c r="C30" s="21" t="s">
        <v>19</v>
      </c>
      <c r="D30" s="21" t="s">
        <v>20</v>
      </c>
      <c r="E30" s="22">
        <v>95.24</v>
      </c>
      <c r="F30" s="22">
        <v>95.24</v>
      </c>
      <c r="G30" s="22">
        <v>95.24</v>
      </c>
      <c r="H30" s="22">
        <v>95.24</v>
      </c>
      <c r="I30" s="22">
        <v>95.24</v>
      </c>
      <c r="J30" s="22">
        <v>95.24</v>
      </c>
      <c r="K30" s="22">
        <v>95.24</v>
      </c>
      <c r="L30" s="23">
        <v>95.24</v>
      </c>
      <c r="M30" s="23">
        <v>95.24</v>
      </c>
      <c r="N30" s="23">
        <v>95.24</v>
      </c>
      <c r="O30" s="23">
        <v>95.24</v>
      </c>
      <c r="P30" s="23">
        <v>95.24</v>
      </c>
      <c r="Q30" s="23">
        <v>95.24</v>
      </c>
    </row>
    <row r="31" ht="22.5" customHeight="1" spans="1:17">
      <c r="A31" s="20" t="s">
        <v>76</v>
      </c>
      <c r="B31" s="21" t="s">
        <v>77</v>
      </c>
      <c r="C31" s="21" t="s">
        <v>19</v>
      </c>
      <c r="D31" s="21" t="s">
        <v>20</v>
      </c>
      <c r="E31" s="22">
        <v>83.33</v>
      </c>
      <c r="F31" s="22">
        <v>91.67</v>
      </c>
      <c r="G31" s="22">
        <v>91.67</v>
      </c>
      <c r="H31" s="22">
        <v>91.67</v>
      </c>
      <c r="I31" s="22">
        <v>91.67</v>
      </c>
      <c r="J31" s="22">
        <v>91.67</v>
      </c>
      <c r="K31" s="22">
        <v>91.67</v>
      </c>
      <c r="L31" s="23">
        <v>91.67</v>
      </c>
      <c r="M31" s="23">
        <v>83.33</v>
      </c>
      <c r="N31" s="23">
        <v>83.33</v>
      </c>
      <c r="O31" s="23">
        <v>83.33</v>
      </c>
      <c r="P31" s="23">
        <v>83.33</v>
      </c>
      <c r="Q31" s="23">
        <v>83.33</v>
      </c>
    </row>
    <row r="32" ht="22.5" customHeight="1" spans="1:17">
      <c r="A32" s="20" t="s">
        <v>78</v>
      </c>
      <c r="B32" s="21" t="s">
        <v>79</v>
      </c>
      <c r="C32" s="21" t="s">
        <v>19</v>
      </c>
      <c r="D32" s="21" t="s">
        <v>20</v>
      </c>
      <c r="E32" s="22">
        <v>91.3</v>
      </c>
      <c r="F32" s="22">
        <v>91.3</v>
      </c>
      <c r="G32" s="22">
        <v>91.3</v>
      </c>
      <c r="H32" s="22">
        <v>91.3</v>
      </c>
      <c r="I32" s="22">
        <v>91.3</v>
      </c>
      <c r="J32" s="22">
        <v>91.3</v>
      </c>
      <c r="K32" s="22">
        <v>91.3</v>
      </c>
      <c r="L32" s="23">
        <v>91.3</v>
      </c>
      <c r="M32" s="23">
        <v>91.3</v>
      </c>
      <c r="N32" s="23">
        <v>91.3</v>
      </c>
      <c r="O32" s="23">
        <v>91.3</v>
      </c>
      <c r="P32" s="23">
        <v>91.3</v>
      </c>
      <c r="Q32" s="23">
        <v>91.3</v>
      </c>
    </row>
    <row r="33" ht="22.5" customHeight="1" spans="1:17">
      <c r="A33" s="20" t="s">
        <v>80</v>
      </c>
      <c r="B33" s="21" t="s">
        <v>81</v>
      </c>
      <c r="C33" s="21" t="s">
        <v>19</v>
      </c>
      <c r="D33" s="21" t="s">
        <v>20</v>
      </c>
      <c r="E33" s="22">
        <v>100</v>
      </c>
      <c r="F33" s="22">
        <v>94.74</v>
      </c>
      <c r="G33" s="22">
        <v>89.47</v>
      </c>
      <c r="H33" s="22">
        <v>89.47</v>
      </c>
      <c r="I33" s="22">
        <v>89.47</v>
      </c>
      <c r="J33" s="22">
        <v>89.47</v>
      </c>
      <c r="K33" s="22">
        <v>89.47</v>
      </c>
      <c r="L33" s="23">
        <v>94.74</v>
      </c>
      <c r="M33" s="23">
        <v>94.74</v>
      </c>
      <c r="N33" s="23">
        <v>94.74</v>
      </c>
      <c r="O33" s="23">
        <v>94.74</v>
      </c>
      <c r="P33" s="23">
        <v>94.74</v>
      </c>
      <c r="Q33" s="23">
        <v>94.74</v>
      </c>
    </row>
    <row r="34" ht="22.5" customHeight="1" spans="1:17">
      <c r="A34" s="20" t="s">
        <v>82</v>
      </c>
      <c r="B34" s="21" t="s">
        <v>83</v>
      </c>
      <c r="C34" s="21" t="s">
        <v>19</v>
      </c>
      <c r="D34" s="21" t="s">
        <v>20</v>
      </c>
      <c r="E34" s="22">
        <v>68.18</v>
      </c>
      <c r="F34" s="22">
        <v>59.09</v>
      </c>
      <c r="G34" s="22">
        <v>54.55</v>
      </c>
      <c r="H34" s="22">
        <v>63.64</v>
      </c>
      <c r="I34" s="22">
        <v>59.09</v>
      </c>
      <c r="J34" s="22">
        <v>59.09</v>
      </c>
      <c r="K34" s="22">
        <v>63.64</v>
      </c>
      <c r="L34" s="23">
        <v>72.73</v>
      </c>
      <c r="M34" s="23">
        <v>68.18</v>
      </c>
      <c r="N34" s="23">
        <v>68.18</v>
      </c>
      <c r="O34" s="23">
        <v>68.18</v>
      </c>
      <c r="P34" s="23">
        <v>68.18</v>
      </c>
      <c r="Q34" s="23">
        <v>68.18</v>
      </c>
    </row>
    <row r="35" ht="22.5" customHeight="1" spans="1:17">
      <c r="A35" s="20" t="s">
        <v>84</v>
      </c>
      <c r="B35" s="21" t="s">
        <v>85</v>
      </c>
      <c r="C35" s="21" t="s">
        <v>19</v>
      </c>
      <c r="D35" s="21" t="s">
        <v>20</v>
      </c>
      <c r="E35" s="22">
        <v>66.67</v>
      </c>
      <c r="F35" s="22">
        <v>70.83</v>
      </c>
      <c r="G35" s="22">
        <v>70.83</v>
      </c>
      <c r="H35" s="22">
        <v>70.83</v>
      </c>
      <c r="I35" s="22">
        <v>66.67</v>
      </c>
      <c r="J35" s="22">
        <v>66.67</v>
      </c>
      <c r="K35" s="22">
        <v>66.67</v>
      </c>
      <c r="L35" s="23">
        <v>70.83</v>
      </c>
      <c r="M35" s="23">
        <v>70.83</v>
      </c>
      <c r="N35" s="23">
        <v>66.67</v>
      </c>
      <c r="O35" s="23">
        <v>66.67</v>
      </c>
      <c r="P35" s="23">
        <v>66.67</v>
      </c>
      <c r="Q35" s="23">
        <v>66.67</v>
      </c>
    </row>
    <row r="36" ht="22.5" customHeight="1" spans="1:17">
      <c r="A36" s="20" t="s">
        <v>86</v>
      </c>
      <c r="B36" s="21" t="s">
        <v>87</v>
      </c>
      <c r="C36" s="21" t="s">
        <v>19</v>
      </c>
      <c r="D36" s="21" t="s">
        <v>20</v>
      </c>
      <c r="E36" s="22">
        <v>65.22</v>
      </c>
      <c r="F36" s="22">
        <v>56.52</v>
      </c>
      <c r="G36" s="22">
        <v>60.87</v>
      </c>
      <c r="H36" s="22">
        <v>65.22</v>
      </c>
      <c r="I36" s="22">
        <v>69.57</v>
      </c>
      <c r="J36" s="22">
        <v>69.57</v>
      </c>
      <c r="K36" s="22">
        <v>65.22</v>
      </c>
      <c r="L36" s="23">
        <v>69.57</v>
      </c>
      <c r="M36" s="23">
        <v>73.91</v>
      </c>
      <c r="N36" s="23">
        <v>73.91</v>
      </c>
      <c r="O36" s="23">
        <v>69.57</v>
      </c>
      <c r="P36" s="23">
        <v>69.57</v>
      </c>
      <c r="Q36" s="23">
        <v>69.57</v>
      </c>
    </row>
    <row r="37" ht="22.5" customHeight="1" spans="1:17">
      <c r="A37" s="20" t="s">
        <v>88</v>
      </c>
      <c r="B37" s="21" t="s">
        <v>89</v>
      </c>
      <c r="C37" s="21" t="s">
        <v>19</v>
      </c>
      <c r="D37" s="21" t="s">
        <v>20</v>
      </c>
      <c r="E37" s="22">
        <v>75.76</v>
      </c>
      <c r="F37" s="22">
        <v>72.73</v>
      </c>
      <c r="G37" s="22">
        <v>72.73</v>
      </c>
      <c r="H37" s="22">
        <v>72.73</v>
      </c>
      <c r="I37" s="22">
        <v>75.76</v>
      </c>
      <c r="J37" s="22">
        <v>75.76</v>
      </c>
      <c r="K37" s="22">
        <v>72.73</v>
      </c>
      <c r="L37" s="23">
        <v>72.73</v>
      </c>
      <c r="M37" s="23">
        <v>72.73</v>
      </c>
      <c r="N37" s="23">
        <v>72.73</v>
      </c>
      <c r="O37" s="23">
        <v>72.73</v>
      </c>
      <c r="P37" s="23">
        <v>72.73</v>
      </c>
      <c r="Q37" s="23">
        <v>72.73</v>
      </c>
    </row>
    <row r="38" ht="22.5" customHeight="1" spans="1:17">
      <c r="A38" s="20" t="s">
        <v>90</v>
      </c>
      <c r="B38" s="21" t="s">
        <v>91</v>
      </c>
      <c r="C38" s="21" t="s">
        <v>19</v>
      </c>
      <c r="D38" s="21" t="s">
        <v>20</v>
      </c>
      <c r="E38" s="22">
        <v>86.21</v>
      </c>
      <c r="F38" s="22">
        <v>89.66</v>
      </c>
      <c r="G38" s="22">
        <v>93.1</v>
      </c>
      <c r="H38" s="22">
        <v>93.1</v>
      </c>
      <c r="I38" s="22">
        <v>86.21</v>
      </c>
      <c r="J38" s="22">
        <v>86.21</v>
      </c>
      <c r="K38" s="22">
        <v>86.21</v>
      </c>
      <c r="L38" s="23">
        <v>89.66</v>
      </c>
      <c r="M38" s="23">
        <v>89.66</v>
      </c>
      <c r="N38" s="23">
        <v>89.66</v>
      </c>
      <c r="O38" s="23">
        <v>89.66</v>
      </c>
      <c r="P38" s="23">
        <v>89.66</v>
      </c>
      <c r="Q38" s="23">
        <v>89.66</v>
      </c>
    </row>
    <row r="39" ht="22.5" customHeight="1" spans="1:17">
      <c r="A39" s="20" t="s">
        <v>92</v>
      </c>
      <c r="B39" s="21" t="s">
        <v>93</v>
      </c>
      <c r="C39" s="21" t="s">
        <v>19</v>
      </c>
      <c r="D39" s="21" t="s">
        <v>20</v>
      </c>
      <c r="E39" s="22">
        <v>69.57</v>
      </c>
      <c r="F39" s="22">
        <v>82.61</v>
      </c>
      <c r="G39" s="22">
        <v>86.96</v>
      </c>
      <c r="H39" s="22">
        <v>86.96</v>
      </c>
      <c r="I39" s="22">
        <v>91.3</v>
      </c>
      <c r="J39" s="22">
        <v>86.96</v>
      </c>
      <c r="K39" s="22">
        <v>86.96</v>
      </c>
      <c r="L39" s="23">
        <v>78.26</v>
      </c>
      <c r="M39" s="23">
        <v>78.26</v>
      </c>
      <c r="N39" s="23">
        <v>78.26</v>
      </c>
      <c r="O39" s="23">
        <v>73.91</v>
      </c>
      <c r="P39" s="23">
        <v>73.91</v>
      </c>
      <c r="Q39" s="23">
        <v>73.91</v>
      </c>
    </row>
    <row r="40" ht="22.5" customHeight="1" spans="1:17">
      <c r="A40" s="20" t="s">
        <v>94</v>
      </c>
      <c r="B40" s="21">
        <v>315705</v>
      </c>
      <c r="C40" s="21" t="s">
        <v>19</v>
      </c>
      <c r="D40" s="21" t="s">
        <v>20</v>
      </c>
      <c r="E40" s="22">
        <v>63.16</v>
      </c>
      <c r="F40" s="22">
        <v>63.16</v>
      </c>
      <c r="G40" s="22">
        <v>73.68</v>
      </c>
      <c r="H40" s="22">
        <v>68.42</v>
      </c>
      <c r="I40" s="22">
        <v>73.68</v>
      </c>
      <c r="J40" s="22">
        <v>73.68</v>
      </c>
      <c r="K40" s="22">
        <v>78.95</v>
      </c>
      <c r="L40" s="23">
        <v>73.68</v>
      </c>
      <c r="M40" s="23">
        <v>68.42</v>
      </c>
      <c r="N40" s="23">
        <v>68.42</v>
      </c>
      <c r="O40" s="23">
        <v>63.16</v>
      </c>
      <c r="P40" s="23">
        <v>68.42</v>
      </c>
      <c r="Q40" s="23">
        <v>68.42</v>
      </c>
    </row>
    <row r="41" ht="22.5" customHeight="1" spans="1:17">
      <c r="A41" s="20" t="s">
        <v>95</v>
      </c>
      <c r="B41" s="21" t="s">
        <v>96</v>
      </c>
      <c r="C41" s="21" t="s">
        <v>19</v>
      </c>
      <c r="D41" s="21" t="s">
        <v>20</v>
      </c>
      <c r="E41" s="22">
        <v>95</v>
      </c>
      <c r="F41" s="22">
        <v>85</v>
      </c>
      <c r="G41" s="22">
        <v>80</v>
      </c>
      <c r="H41" s="22">
        <v>85</v>
      </c>
      <c r="I41" s="22">
        <v>85</v>
      </c>
      <c r="J41" s="22">
        <v>85</v>
      </c>
      <c r="K41" s="22">
        <v>80</v>
      </c>
      <c r="L41" s="23">
        <v>85</v>
      </c>
      <c r="M41" s="23">
        <v>85</v>
      </c>
      <c r="N41" s="23">
        <v>85</v>
      </c>
      <c r="O41" s="23">
        <v>85</v>
      </c>
      <c r="P41" s="23">
        <v>85</v>
      </c>
      <c r="Q41" s="23">
        <v>85</v>
      </c>
    </row>
    <row r="42" ht="22.5" customHeight="1" spans="1:17">
      <c r="A42" s="20" t="s">
        <v>97</v>
      </c>
      <c r="B42" s="21" t="s">
        <v>98</v>
      </c>
      <c r="C42" s="21" t="s">
        <v>19</v>
      </c>
      <c r="D42" s="21" t="s">
        <v>20</v>
      </c>
      <c r="E42" s="22">
        <v>90.91</v>
      </c>
      <c r="F42" s="22">
        <v>95.45</v>
      </c>
      <c r="G42" s="22">
        <v>95.45</v>
      </c>
      <c r="H42" s="22">
        <v>90.91</v>
      </c>
      <c r="I42" s="22">
        <v>95.45</v>
      </c>
      <c r="J42" s="22">
        <v>90.91</v>
      </c>
      <c r="K42" s="22">
        <v>90.91</v>
      </c>
      <c r="L42" s="23">
        <v>95.45</v>
      </c>
      <c r="M42" s="23">
        <v>90.91</v>
      </c>
      <c r="N42" s="23">
        <v>95.45</v>
      </c>
      <c r="O42" s="23">
        <v>90.91</v>
      </c>
      <c r="P42" s="23">
        <v>90.91</v>
      </c>
      <c r="Q42" s="23">
        <v>90.91</v>
      </c>
    </row>
    <row r="43" ht="22.5" customHeight="1" spans="1:17">
      <c r="A43" s="20" t="s">
        <v>99</v>
      </c>
      <c r="B43" s="21" t="s">
        <v>100</v>
      </c>
      <c r="C43" s="21" t="s">
        <v>19</v>
      </c>
      <c r="D43" s="21" t="s">
        <v>20</v>
      </c>
      <c r="E43" s="22">
        <v>76.6</v>
      </c>
      <c r="F43" s="22">
        <v>72.34</v>
      </c>
      <c r="G43" s="22">
        <v>65.96</v>
      </c>
      <c r="H43" s="22">
        <v>68.09</v>
      </c>
      <c r="I43" s="22">
        <v>65.96</v>
      </c>
      <c r="J43" s="22">
        <v>70.21</v>
      </c>
      <c r="K43" s="22">
        <v>65.96</v>
      </c>
      <c r="L43" s="23">
        <v>74.47</v>
      </c>
      <c r="M43" s="23">
        <v>74.47</v>
      </c>
      <c r="N43" s="23">
        <v>74.47</v>
      </c>
      <c r="O43" s="23">
        <v>74.47</v>
      </c>
      <c r="P43" s="23">
        <v>74.47</v>
      </c>
      <c r="Q43" s="23">
        <v>74.47</v>
      </c>
    </row>
    <row r="44" ht="22.5" customHeight="1" spans="1:17">
      <c r="A44" s="20" t="s">
        <v>101</v>
      </c>
      <c r="B44" s="21" t="s">
        <v>102</v>
      </c>
      <c r="C44" s="21" t="s">
        <v>19</v>
      </c>
      <c r="D44" s="21" t="s">
        <v>20</v>
      </c>
      <c r="E44" s="22">
        <v>94.74</v>
      </c>
      <c r="F44" s="22">
        <v>94.74</v>
      </c>
      <c r="G44" s="22">
        <v>94.74</v>
      </c>
      <c r="H44" s="22">
        <v>94.74</v>
      </c>
      <c r="I44" s="22">
        <v>94.74</v>
      </c>
      <c r="J44" s="22">
        <v>94.74</v>
      </c>
      <c r="K44" s="22">
        <v>89.47</v>
      </c>
      <c r="L44" s="23">
        <v>94.74</v>
      </c>
      <c r="M44" s="23">
        <v>94.74</v>
      </c>
      <c r="N44" s="23">
        <v>94.74</v>
      </c>
      <c r="O44" s="23">
        <v>94.74</v>
      </c>
      <c r="P44" s="23">
        <v>94.74</v>
      </c>
      <c r="Q44" s="23">
        <v>94.74</v>
      </c>
    </row>
    <row r="45" ht="22.5" customHeight="1" spans="1:17">
      <c r="A45" s="20" t="s">
        <v>103</v>
      </c>
      <c r="B45" s="21" t="s">
        <v>104</v>
      </c>
      <c r="C45" s="21" t="s">
        <v>19</v>
      </c>
      <c r="D45" s="21" t="s">
        <v>20</v>
      </c>
      <c r="E45" s="22">
        <v>86.36</v>
      </c>
      <c r="F45" s="22">
        <v>81.82</v>
      </c>
      <c r="G45" s="22">
        <v>77.27</v>
      </c>
      <c r="H45" s="22">
        <v>77.27</v>
      </c>
      <c r="I45" s="22">
        <v>77.27</v>
      </c>
      <c r="J45" s="22">
        <v>77.27</v>
      </c>
      <c r="K45" s="22">
        <v>77.27</v>
      </c>
      <c r="L45" s="23">
        <v>77.27</v>
      </c>
      <c r="M45" s="23">
        <v>77.27</v>
      </c>
      <c r="N45" s="23">
        <v>77.27</v>
      </c>
      <c r="O45" s="23">
        <v>77.27</v>
      </c>
      <c r="P45" s="23">
        <v>77.27</v>
      </c>
      <c r="Q45" s="23">
        <v>77.27</v>
      </c>
    </row>
    <row r="46" ht="22.5" customHeight="1" spans="1:17">
      <c r="A46" s="20" t="s">
        <v>105</v>
      </c>
      <c r="B46" s="21" t="s">
        <v>106</v>
      </c>
      <c r="C46" s="21" t="s">
        <v>19</v>
      </c>
      <c r="D46" s="21" t="s">
        <v>20</v>
      </c>
      <c r="E46" s="22">
        <v>94.74</v>
      </c>
      <c r="F46" s="22">
        <v>89.47</v>
      </c>
      <c r="G46" s="22">
        <v>89.47</v>
      </c>
      <c r="H46" s="22">
        <v>89.47</v>
      </c>
      <c r="I46" s="22">
        <v>89.47</v>
      </c>
      <c r="J46" s="22">
        <v>89.47</v>
      </c>
      <c r="K46" s="22">
        <v>89.47</v>
      </c>
      <c r="L46" s="23">
        <v>89.47</v>
      </c>
      <c r="M46" s="23">
        <v>89.47</v>
      </c>
      <c r="N46" s="23">
        <v>89.47</v>
      </c>
      <c r="O46" s="23">
        <v>94.74</v>
      </c>
      <c r="P46" s="23">
        <v>94.74</v>
      </c>
      <c r="Q46" s="23">
        <v>94.74</v>
      </c>
    </row>
    <row r="47" ht="22.5" customHeight="1" spans="1:17">
      <c r="A47" s="20" t="s">
        <v>107</v>
      </c>
      <c r="B47" s="21" t="s">
        <v>108</v>
      </c>
      <c r="C47" s="21" t="s">
        <v>19</v>
      </c>
      <c r="D47" s="21" t="s">
        <v>20</v>
      </c>
      <c r="E47" s="22">
        <v>77.27</v>
      </c>
      <c r="F47" s="22">
        <v>86.36</v>
      </c>
      <c r="G47" s="22">
        <v>86.36</v>
      </c>
      <c r="H47" s="22">
        <v>77.27</v>
      </c>
      <c r="I47" s="22">
        <v>77.27</v>
      </c>
      <c r="J47" s="22">
        <v>77.27</v>
      </c>
      <c r="K47" s="22">
        <v>72.73</v>
      </c>
      <c r="L47" s="23">
        <v>77.27</v>
      </c>
      <c r="M47" s="23">
        <v>72.73</v>
      </c>
      <c r="N47" s="23">
        <v>72.73</v>
      </c>
      <c r="O47" s="23">
        <v>72.73</v>
      </c>
      <c r="P47" s="23">
        <v>72.73</v>
      </c>
      <c r="Q47" s="23">
        <v>72.73</v>
      </c>
    </row>
    <row r="48" ht="22.5" customHeight="1" spans="1:17">
      <c r="A48" s="20" t="s">
        <v>109</v>
      </c>
      <c r="B48" s="21" t="s">
        <v>110</v>
      </c>
      <c r="C48" s="21" t="s">
        <v>19</v>
      </c>
      <c r="D48" s="21" t="s">
        <v>20</v>
      </c>
      <c r="E48" s="22">
        <v>80.43</v>
      </c>
      <c r="F48" s="22">
        <v>76.09</v>
      </c>
      <c r="G48" s="22">
        <v>76.09</v>
      </c>
      <c r="H48" s="22">
        <v>76.09</v>
      </c>
      <c r="I48" s="22">
        <v>73.91</v>
      </c>
      <c r="J48" s="22">
        <v>73.91</v>
      </c>
      <c r="K48" s="22">
        <v>76.09</v>
      </c>
      <c r="L48" s="23">
        <v>82.61</v>
      </c>
      <c r="M48" s="23">
        <v>80.43</v>
      </c>
      <c r="N48" s="23">
        <v>78.26</v>
      </c>
      <c r="O48" s="23">
        <v>80.43</v>
      </c>
      <c r="P48" s="23">
        <v>80.43</v>
      </c>
      <c r="Q48" s="23">
        <v>80.43</v>
      </c>
    </row>
    <row r="49" ht="22.5" customHeight="1" spans="1:17">
      <c r="A49" s="20" t="s">
        <v>111</v>
      </c>
      <c r="B49" s="34" t="s">
        <v>112</v>
      </c>
      <c r="C49" s="21" t="s">
        <v>19</v>
      </c>
      <c r="D49" s="21" t="s">
        <v>20</v>
      </c>
      <c r="E49" s="22">
        <v>87.76</v>
      </c>
      <c r="F49" s="22">
        <v>87.76</v>
      </c>
      <c r="G49" s="22">
        <v>87.76</v>
      </c>
      <c r="H49" s="22">
        <v>85.71</v>
      </c>
      <c r="I49" s="22">
        <v>83.67</v>
      </c>
      <c r="J49" s="22">
        <v>81.63</v>
      </c>
      <c r="K49" s="22">
        <v>83.67</v>
      </c>
      <c r="L49" s="23">
        <v>85.71</v>
      </c>
      <c r="M49" s="23">
        <v>85.71</v>
      </c>
      <c r="N49" s="23">
        <v>85.71</v>
      </c>
      <c r="O49" s="23">
        <v>83.67</v>
      </c>
      <c r="P49" s="23">
        <v>85.71</v>
      </c>
      <c r="Q49" s="23">
        <v>85.71</v>
      </c>
    </row>
    <row r="50" ht="22.5" customHeight="1" spans="1:17">
      <c r="A50" s="20" t="s">
        <v>113</v>
      </c>
      <c r="B50" s="21" t="s">
        <v>114</v>
      </c>
      <c r="C50" s="21" t="s">
        <v>19</v>
      </c>
      <c r="D50" s="21" t="s">
        <v>20</v>
      </c>
      <c r="E50" s="22">
        <v>70.97</v>
      </c>
      <c r="F50" s="22">
        <v>74.19</v>
      </c>
      <c r="G50" s="22">
        <v>77.42</v>
      </c>
      <c r="H50" s="22">
        <v>80.65</v>
      </c>
      <c r="I50" s="22">
        <v>80.65</v>
      </c>
      <c r="J50" s="22">
        <v>74.19</v>
      </c>
      <c r="K50" s="22">
        <v>77.42</v>
      </c>
      <c r="L50" s="23">
        <v>70.97</v>
      </c>
      <c r="M50" s="23">
        <v>74.19</v>
      </c>
      <c r="N50" s="23">
        <v>67.74</v>
      </c>
      <c r="O50" s="23">
        <v>67.74</v>
      </c>
      <c r="P50" s="23">
        <v>67.74</v>
      </c>
      <c r="Q50" s="23">
        <v>67.74</v>
      </c>
    </row>
    <row r="51" ht="22.5" customHeight="1" spans="1:17">
      <c r="A51" s="20" t="s">
        <v>115</v>
      </c>
      <c r="B51" s="21" t="s">
        <v>116</v>
      </c>
      <c r="C51" s="21" t="s">
        <v>19</v>
      </c>
      <c r="D51" s="21" t="s">
        <v>20</v>
      </c>
      <c r="E51" s="22">
        <v>74.19</v>
      </c>
      <c r="F51" s="22">
        <v>74.19</v>
      </c>
      <c r="G51" s="22">
        <v>80.65</v>
      </c>
      <c r="H51" s="22">
        <v>80.65</v>
      </c>
      <c r="I51" s="22">
        <v>80.65</v>
      </c>
      <c r="J51" s="22">
        <v>80.65</v>
      </c>
      <c r="K51" s="22">
        <v>80.65</v>
      </c>
      <c r="L51" s="23">
        <v>77.42</v>
      </c>
      <c r="M51" s="23">
        <v>74.19</v>
      </c>
      <c r="N51" s="23">
        <v>74.19</v>
      </c>
      <c r="O51" s="23">
        <v>74.19</v>
      </c>
      <c r="P51" s="23">
        <v>77.42</v>
      </c>
      <c r="Q51" s="23">
        <v>77.42</v>
      </c>
    </row>
    <row r="52" ht="22.5" customHeight="1" spans="1:17">
      <c r="A52" s="20" t="s">
        <v>117</v>
      </c>
      <c r="B52" s="21" t="s">
        <v>118</v>
      </c>
      <c r="C52" s="21" t="s">
        <v>19</v>
      </c>
      <c r="D52" s="21" t="s">
        <v>20</v>
      </c>
      <c r="E52" s="22">
        <v>83.67</v>
      </c>
      <c r="F52" s="22">
        <v>85.71</v>
      </c>
      <c r="G52" s="22">
        <v>85.71</v>
      </c>
      <c r="H52" s="22">
        <v>83.67</v>
      </c>
      <c r="I52" s="22">
        <v>79.59</v>
      </c>
      <c r="J52" s="22">
        <v>81.63</v>
      </c>
      <c r="K52" s="22">
        <v>81.63</v>
      </c>
      <c r="L52" s="23">
        <v>79.59</v>
      </c>
      <c r="M52" s="23">
        <v>77.55</v>
      </c>
      <c r="N52" s="23">
        <v>81.63</v>
      </c>
      <c r="O52" s="23">
        <v>79.59</v>
      </c>
      <c r="P52" s="23">
        <v>79.59</v>
      </c>
      <c r="Q52" s="23">
        <v>79.59</v>
      </c>
    </row>
    <row r="53" ht="22.5" customHeight="1" spans="1:17">
      <c r="A53" s="20" t="s">
        <v>119</v>
      </c>
      <c r="B53" s="21" t="s">
        <v>120</v>
      </c>
      <c r="C53" s="21" t="s">
        <v>19</v>
      </c>
      <c r="D53" s="21" t="s">
        <v>20</v>
      </c>
      <c r="E53" s="22">
        <v>83.67</v>
      </c>
      <c r="F53" s="22">
        <v>79.59</v>
      </c>
      <c r="G53" s="22">
        <v>71.43</v>
      </c>
      <c r="H53" s="22">
        <v>73.47</v>
      </c>
      <c r="I53" s="22">
        <v>73.47</v>
      </c>
      <c r="J53" s="22">
        <v>73.47</v>
      </c>
      <c r="K53" s="22">
        <v>71.43</v>
      </c>
      <c r="L53" s="23">
        <v>77.55</v>
      </c>
      <c r="M53" s="23">
        <v>77.55</v>
      </c>
      <c r="N53" s="23">
        <v>75.51</v>
      </c>
      <c r="O53" s="23">
        <v>73.47</v>
      </c>
      <c r="P53" s="23">
        <v>73.47</v>
      </c>
      <c r="Q53" s="23">
        <v>71.43</v>
      </c>
    </row>
    <row r="54" ht="22.5" customHeight="1" spans="1:17">
      <c r="A54" s="24" t="s">
        <v>121</v>
      </c>
      <c r="B54" s="25" t="s">
        <v>122</v>
      </c>
      <c r="C54" s="25" t="s">
        <v>19</v>
      </c>
      <c r="D54" s="25" t="s">
        <v>20</v>
      </c>
      <c r="E54" s="26">
        <v>85.19</v>
      </c>
      <c r="F54" s="26">
        <v>84.95</v>
      </c>
      <c r="G54" s="26">
        <v>85.12</v>
      </c>
      <c r="H54" s="26">
        <v>84.91</v>
      </c>
      <c r="I54" s="26">
        <v>84.97</v>
      </c>
      <c r="J54" s="26">
        <v>84.61</v>
      </c>
      <c r="K54" s="26">
        <v>84.57</v>
      </c>
      <c r="L54" s="27">
        <v>83.45</v>
      </c>
      <c r="M54" s="27">
        <v>83.35</v>
      </c>
      <c r="N54" s="27">
        <v>83.02</v>
      </c>
      <c r="O54" s="27">
        <v>83.18</v>
      </c>
      <c r="P54" s="27">
        <v>83.09</v>
      </c>
      <c r="Q54" s="27">
        <v>82.97</v>
      </c>
    </row>
    <row r="55" ht="22.5" customHeight="1" spans="1:17">
      <c r="A55" s="24" t="s">
        <v>123</v>
      </c>
      <c r="B55" s="25">
        <v>458220</v>
      </c>
      <c r="C55" s="25" t="s">
        <v>19</v>
      </c>
      <c r="D55" s="25" t="s">
        <v>20</v>
      </c>
      <c r="E55" s="26">
        <v>67.56</v>
      </c>
      <c r="F55" s="26">
        <v>67.09</v>
      </c>
      <c r="G55" s="26">
        <v>67.17</v>
      </c>
      <c r="H55" s="26">
        <v>68.11</v>
      </c>
      <c r="I55" s="26">
        <v>66.22</v>
      </c>
      <c r="J55" s="26">
        <v>65.59</v>
      </c>
      <c r="K55" s="26">
        <v>65.51</v>
      </c>
      <c r="L55" s="27">
        <v>64.33</v>
      </c>
      <c r="M55" s="27">
        <v>61.88</v>
      </c>
      <c r="N55" s="27">
        <v>62.98</v>
      </c>
      <c r="O55" s="27">
        <v>61.33</v>
      </c>
      <c r="P55" s="27">
        <v>61.96</v>
      </c>
      <c r="Q55" s="27">
        <v>61.56</v>
      </c>
    </row>
    <row r="56" ht="22.5" customHeight="1" spans="1:17">
      <c r="A56" s="24" t="s">
        <v>124</v>
      </c>
      <c r="B56" s="25" t="s">
        <v>125</v>
      </c>
      <c r="C56" s="25" t="s">
        <v>19</v>
      </c>
      <c r="D56" s="25" t="s">
        <v>20</v>
      </c>
      <c r="E56" s="26">
        <v>87.81</v>
      </c>
      <c r="F56" s="26">
        <v>66.09</v>
      </c>
      <c r="G56" s="26">
        <v>63.18</v>
      </c>
      <c r="H56" s="26">
        <v>60.77</v>
      </c>
      <c r="I56" s="26">
        <v>66.78</v>
      </c>
      <c r="J56" s="26">
        <v>59.66</v>
      </c>
      <c r="K56" s="26">
        <v>62.06</v>
      </c>
      <c r="L56" s="26">
        <v>78.63</v>
      </c>
      <c r="M56" s="26">
        <v>77.08</v>
      </c>
      <c r="N56" s="26">
        <v>78.37</v>
      </c>
      <c r="O56" s="26">
        <v>79.48</v>
      </c>
      <c r="P56" s="26">
        <v>79.06</v>
      </c>
      <c r="Q56" s="26">
        <v>79.06</v>
      </c>
    </row>
    <row r="57" s="12" customFormat="1" ht="13.85" spans="1:17">
      <c r="A57" s="28" t="s">
        <v>126</v>
      </c>
      <c r="B57" s="29"/>
      <c r="C57" s="29"/>
      <c r="D57" s="29"/>
      <c r="E57" s="26">
        <f t="shared" ref="E57:K57" si="0">AVERAGE(E2:E53)</f>
        <v>77.9940384615385</v>
      </c>
      <c r="F57" s="26">
        <f t="shared" si="0"/>
        <v>78.8603846153846</v>
      </c>
      <c r="G57" s="26">
        <f t="shared" si="0"/>
        <v>78.4446153846154</v>
      </c>
      <c r="H57" s="26">
        <f t="shared" si="0"/>
        <v>78.1023076923077</v>
      </c>
      <c r="I57" s="26">
        <f t="shared" si="0"/>
        <v>77.6292307692308</v>
      </c>
      <c r="J57" s="26">
        <f t="shared" si="0"/>
        <v>77.76</v>
      </c>
      <c r="K57" s="26">
        <f t="shared" si="0"/>
        <v>77.6557692307692</v>
      </c>
      <c r="L57" s="30">
        <f t="shared" ref="L57:Q57" si="1">AVERAGE(L2:L53)</f>
        <v>78.6015384615385</v>
      </c>
      <c r="M57" s="30">
        <f t="shared" si="1"/>
        <v>77.8815384615384</v>
      </c>
      <c r="N57" s="30">
        <f t="shared" si="1"/>
        <v>77.5746153846154</v>
      </c>
      <c r="O57" s="30">
        <f t="shared" si="1"/>
        <v>77.0207692307692</v>
      </c>
      <c r="P57" s="30">
        <f t="shared" si="1"/>
        <v>77.2017307692307</v>
      </c>
      <c r="Q57" s="30">
        <f t="shared" si="1"/>
        <v>77.1625</v>
      </c>
    </row>
    <row r="58" spans="1:17">
      <c r="A58" s="28" t="s">
        <v>127</v>
      </c>
      <c r="B58" s="31"/>
      <c r="C58" s="31"/>
      <c r="D58" s="31"/>
      <c r="E58" s="26">
        <f t="shared" ref="E58:K58" si="2">AVERAGE(E6:E10,E13:E15)</f>
        <v>51.03625</v>
      </c>
      <c r="F58" s="26">
        <f t="shared" si="2"/>
        <v>57.63375</v>
      </c>
      <c r="G58" s="26">
        <f t="shared" si="2"/>
        <v>55.8975</v>
      </c>
      <c r="H58" s="26">
        <f t="shared" si="2"/>
        <v>55.3025</v>
      </c>
      <c r="I58" s="26">
        <f t="shared" si="2"/>
        <v>53.155</v>
      </c>
      <c r="J58" s="26">
        <f t="shared" si="2"/>
        <v>55.85875</v>
      </c>
      <c r="K58" s="26">
        <f t="shared" si="2"/>
        <v>55.76</v>
      </c>
      <c r="L58" s="26">
        <f t="shared" ref="L58:Q58" si="3">AVERAGE(L6:L10,L13:L15)</f>
        <v>52.81</v>
      </c>
      <c r="M58" s="26">
        <f t="shared" si="3"/>
        <v>54.16125</v>
      </c>
      <c r="N58" s="26">
        <f t="shared" si="3"/>
        <v>53.5775</v>
      </c>
      <c r="O58" s="26">
        <f t="shared" si="3"/>
        <v>52.92</v>
      </c>
      <c r="P58" s="26">
        <f t="shared" si="3"/>
        <v>52.92</v>
      </c>
      <c r="Q58" s="26">
        <f t="shared" si="3"/>
        <v>52.92</v>
      </c>
    </row>
    <row r="59" ht="14.65" hidden="1" spans="1:17">
      <c r="A59" s="32" t="s">
        <v>128</v>
      </c>
      <c r="B59" s="33"/>
      <c r="C59" s="33"/>
      <c r="D59" s="33"/>
      <c r="E59" s="33">
        <f t="shared" ref="E59:K59" si="4">AVERAGE(E8:E10,E13)</f>
        <v>30.42</v>
      </c>
      <c r="F59" s="33">
        <f t="shared" si="4"/>
        <v>44.655</v>
      </c>
      <c r="G59" s="33">
        <f t="shared" si="4"/>
        <v>43.2675</v>
      </c>
      <c r="H59" s="33">
        <f t="shared" si="4"/>
        <v>41.8025</v>
      </c>
      <c r="I59" s="33">
        <f t="shared" si="4"/>
        <v>39.0975</v>
      </c>
      <c r="J59" s="33">
        <f t="shared" si="4"/>
        <v>41.875</v>
      </c>
      <c r="K59" s="33">
        <f t="shared" si="4"/>
        <v>43.265</v>
      </c>
      <c r="L59" s="33"/>
      <c r="M59" s="33"/>
      <c r="N59" s="33"/>
      <c r="O59" s="33"/>
      <c r="P59" s="33"/>
      <c r="Q59" s="33"/>
    </row>
    <row r="60" ht="14.65" hidden="1" spans="1:17">
      <c r="A60" s="32" t="s">
        <v>129</v>
      </c>
      <c r="B60" s="33"/>
      <c r="C60" s="33"/>
      <c r="D60" s="33"/>
      <c r="E60" s="23">
        <v>92.59</v>
      </c>
      <c r="F60" s="33">
        <v>73.19</v>
      </c>
      <c r="G60" s="33">
        <v>69.49</v>
      </c>
      <c r="H60" s="33">
        <v>69.84</v>
      </c>
      <c r="I60" s="33">
        <v>75.13</v>
      </c>
      <c r="J60" s="33">
        <v>67.37</v>
      </c>
      <c r="K60" s="23">
        <v>71.78</v>
      </c>
      <c r="L60" s="33"/>
      <c r="M60" s="33"/>
      <c r="N60" s="33"/>
      <c r="O60" s="33"/>
      <c r="P60" s="33"/>
      <c r="Q60" s="33"/>
    </row>
    <row r="61" hidden="1" spans="1:17">
      <c r="A61" s="33"/>
      <c r="B61" s="33"/>
      <c r="C61" s="33"/>
      <c r="D61" s="33"/>
      <c r="E61" s="33">
        <f t="shared" ref="E61:K61" si="5">AVERAGE(E54:E56)</f>
        <v>80.1866666666667</v>
      </c>
      <c r="F61" s="33">
        <f t="shared" si="5"/>
        <v>72.71</v>
      </c>
      <c r="G61" s="33">
        <f t="shared" si="5"/>
        <v>71.8233333333333</v>
      </c>
      <c r="H61" s="33">
        <f t="shared" si="5"/>
        <v>71.2633333333333</v>
      </c>
      <c r="I61" s="33">
        <f t="shared" si="5"/>
        <v>72.6566666666667</v>
      </c>
      <c r="J61" s="33">
        <f t="shared" si="5"/>
        <v>69.9533333333333</v>
      </c>
      <c r="K61" s="33">
        <f t="shared" si="5"/>
        <v>70.7133333333333</v>
      </c>
      <c r="L61" s="33"/>
      <c r="M61" s="33"/>
      <c r="N61" s="33"/>
      <c r="O61" s="33"/>
      <c r="P61" s="33"/>
      <c r="Q61" s="3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B34" sqref="B34"/>
    </sheetView>
  </sheetViews>
  <sheetFormatPr defaultColWidth="9.02654867256637" defaultRowHeight="13.5" outlineLevelRow="5" outlineLevelCol="5"/>
  <cols>
    <col min="1" max="1" width="19.5752212389381" customWidth="1"/>
    <col min="2" max="2" width="13.8141592920354" customWidth="1"/>
    <col min="3" max="3" width="15.4070796460177" customWidth="1"/>
    <col min="4" max="4" width="9.89380530973451" customWidth="1"/>
    <col min="5" max="5" width="8.76106194690266" customWidth="1"/>
    <col min="6" max="6" width="15.2743362831858" customWidth="1"/>
  </cols>
  <sheetData>
    <row r="1" ht="18.5" customHeight="1" spans="1:6">
      <c r="A1" s="10" t="s">
        <v>0</v>
      </c>
      <c r="B1" s="10" t="s">
        <v>121</v>
      </c>
      <c r="C1" s="10" t="s">
        <v>123</v>
      </c>
      <c r="D1" s="10" t="s">
        <v>124</v>
      </c>
      <c r="E1" s="10" t="s">
        <v>126</v>
      </c>
      <c r="F1" s="10" t="s">
        <v>127</v>
      </c>
    </row>
    <row r="2" ht="18.5" customHeight="1" spans="1:6">
      <c r="A2" s="11" t="s">
        <v>4</v>
      </c>
      <c r="B2" s="7">
        <v>85.19</v>
      </c>
      <c r="C2" s="7">
        <v>67.56</v>
      </c>
      <c r="D2" s="7">
        <v>85.76</v>
      </c>
      <c r="E2" s="7">
        <v>77.9940384615385</v>
      </c>
      <c r="F2" s="7">
        <v>51.03625</v>
      </c>
    </row>
    <row r="3" ht="18.5" customHeight="1" spans="1:6">
      <c r="A3" s="11" t="s">
        <v>130</v>
      </c>
      <c r="B3" s="7">
        <v>84.45</v>
      </c>
      <c r="C3" s="7">
        <v>66.06</v>
      </c>
      <c r="D3" s="7">
        <v>60.68</v>
      </c>
      <c r="E3" s="7">
        <v>76.9661538461538</v>
      </c>
      <c r="F3" s="7">
        <v>53.7125</v>
      </c>
    </row>
    <row r="4" ht="18.5" customHeight="1" spans="1:6">
      <c r="A4" s="11" t="s">
        <v>131</v>
      </c>
      <c r="B4" s="7">
        <v>84.57</v>
      </c>
      <c r="C4" s="7">
        <v>65.51</v>
      </c>
      <c r="D4" s="7">
        <v>63.73</v>
      </c>
      <c r="E4" s="7">
        <v>77.6557692307692</v>
      </c>
      <c r="F4" s="7">
        <v>55.76</v>
      </c>
    </row>
    <row r="5" ht="18.5" customHeight="1" spans="1:6">
      <c r="A5" s="11" t="s">
        <v>132</v>
      </c>
      <c r="B5" s="7">
        <v>83.75</v>
      </c>
      <c r="C5" s="7">
        <v>60.93</v>
      </c>
      <c r="D5" s="7">
        <v>77.29</v>
      </c>
      <c r="E5" s="7">
        <v>77.0628846153846</v>
      </c>
      <c r="F5" s="7">
        <v>52.44875</v>
      </c>
    </row>
    <row r="6" ht="18.5" customHeight="1" spans="1:6">
      <c r="A6" s="11"/>
      <c r="B6" s="7"/>
      <c r="C6" s="7"/>
      <c r="D6" s="7"/>
      <c r="E6" s="7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"/>
  <sheetViews>
    <sheetView topLeftCell="L1" workbookViewId="0">
      <selection activeCell="R6" sqref="R6:T6"/>
    </sheetView>
  </sheetViews>
  <sheetFormatPr defaultColWidth="9.02654867256637" defaultRowHeight="13.5" outlineLevelRow="5"/>
  <cols>
    <col min="1" max="1" width="13.0973451327434" customWidth="1"/>
    <col min="2" max="2" width="10.6106194690265" customWidth="1"/>
    <col min="3" max="3" width="14.8672566371681" customWidth="1"/>
    <col min="4" max="4" width="16.2035398230088" customWidth="1"/>
    <col min="5" max="5" width="12.5486725663717" customWidth="1"/>
    <col min="6" max="6" width="14.8672566371681" customWidth="1"/>
    <col min="7" max="8" width="12.5486725663717" customWidth="1"/>
    <col min="9" max="9" width="15.929203539823" customWidth="1"/>
    <col min="10" max="10" width="13.5486725663717" customWidth="1"/>
    <col min="11" max="11" width="12.5486725663717" customWidth="1"/>
    <col min="12" max="12" width="15.929203539823" customWidth="1"/>
    <col min="13" max="13" width="13.5486725663717" customWidth="1"/>
    <col min="14" max="14" width="12.5486725663717" customWidth="1"/>
    <col min="15" max="15" width="15.929203539823" customWidth="1"/>
    <col min="16" max="16" width="13.5486725663717" customWidth="1"/>
    <col min="17" max="17" width="12.5486725663717" customWidth="1"/>
    <col min="18" max="18" width="15.929203539823" customWidth="1"/>
    <col min="19" max="19" width="13.5486725663717" customWidth="1"/>
    <col min="20" max="20" width="12.5486725663717" customWidth="1"/>
  </cols>
  <sheetData>
    <row r="1" ht="55" customHeight="1" spans="1:20">
      <c r="A1" s="5" t="s">
        <v>0</v>
      </c>
      <c r="B1" s="5" t="s">
        <v>4</v>
      </c>
      <c r="C1" s="4" t="s">
        <v>133</v>
      </c>
      <c r="D1" s="4" t="s">
        <v>134</v>
      </c>
      <c r="E1" s="4" t="s">
        <v>135</v>
      </c>
      <c r="F1" s="5" t="s">
        <v>136</v>
      </c>
      <c r="G1" s="5" t="s">
        <v>137</v>
      </c>
      <c r="H1" s="5" t="s">
        <v>138</v>
      </c>
      <c r="I1" s="4" t="s">
        <v>139</v>
      </c>
      <c r="J1" s="4" t="s">
        <v>140</v>
      </c>
      <c r="K1" s="4" t="s">
        <v>141</v>
      </c>
      <c r="L1" s="5" t="s">
        <v>142</v>
      </c>
      <c r="M1" s="5" t="s">
        <v>143</v>
      </c>
      <c r="N1" s="5" t="s">
        <v>144</v>
      </c>
      <c r="O1" s="4" t="s">
        <v>145</v>
      </c>
      <c r="P1" s="4" t="s">
        <v>146</v>
      </c>
      <c r="Q1" s="4" t="s">
        <v>147</v>
      </c>
      <c r="R1" s="5" t="s">
        <v>148</v>
      </c>
      <c r="S1" s="5" t="s">
        <v>149</v>
      </c>
      <c r="T1" s="5" t="s">
        <v>150</v>
      </c>
    </row>
    <row r="2" ht="18.5" customHeight="1" spans="1:20">
      <c r="A2" s="2" t="s">
        <v>121</v>
      </c>
      <c r="B2" s="7">
        <v>85.19</v>
      </c>
      <c r="C2" s="6">
        <v>85.29</v>
      </c>
      <c r="D2" s="6">
        <v>84.95</v>
      </c>
      <c r="E2" s="6">
        <v>84.02</v>
      </c>
      <c r="F2" s="7">
        <v>84.85</v>
      </c>
      <c r="G2" s="7">
        <v>85.12</v>
      </c>
      <c r="H2" s="7">
        <v>84.11</v>
      </c>
      <c r="I2" s="6">
        <v>85.04</v>
      </c>
      <c r="J2" s="6">
        <v>84.91</v>
      </c>
      <c r="K2" s="6">
        <v>83.28</v>
      </c>
      <c r="L2" s="7">
        <v>85.15</v>
      </c>
      <c r="M2" s="7">
        <v>84.97</v>
      </c>
      <c r="N2" s="7">
        <v>83.63</v>
      </c>
      <c r="O2" s="6">
        <v>84.64</v>
      </c>
      <c r="P2" s="6">
        <v>84.61</v>
      </c>
      <c r="Q2" s="6">
        <v>83.6</v>
      </c>
      <c r="R2" s="7">
        <v>84.45</v>
      </c>
      <c r="S2" s="7">
        <v>84.57</v>
      </c>
      <c r="T2" s="7">
        <v>83.75</v>
      </c>
    </row>
    <row r="3" ht="18.5" customHeight="1" spans="1:20">
      <c r="A3" s="2" t="s">
        <v>123</v>
      </c>
      <c r="B3" s="7">
        <v>67.56</v>
      </c>
      <c r="C3" s="6">
        <v>67.48</v>
      </c>
      <c r="D3" s="6">
        <v>67.09</v>
      </c>
      <c r="E3" s="6">
        <v>65.82</v>
      </c>
      <c r="F3" s="7">
        <v>67.96</v>
      </c>
      <c r="G3" s="7">
        <v>67.17</v>
      </c>
      <c r="H3" s="7">
        <v>65.04</v>
      </c>
      <c r="I3" s="6">
        <v>67.17</v>
      </c>
      <c r="J3" s="6">
        <v>68.11</v>
      </c>
      <c r="K3" s="6">
        <v>64.25</v>
      </c>
      <c r="L3" s="7">
        <v>67.4</v>
      </c>
      <c r="M3" s="7">
        <v>66.22</v>
      </c>
      <c r="N3" s="7">
        <v>61.33</v>
      </c>
      <c r="O3" s="6">
        <v>66.14</v>
      </c>
      <c r="P3" s="6">
        <v>65.59</v>
      </c>
      <c r="Q3" s="6">
        <v>60.38</v>
      </c>
      <c r="R3" s="7">
        <v>66.06</v>
      </c>
      <c r="S3" s="7">
        <v>65.51</v>
      </c>
      <c r="T3" s="7">
        <v>60.93</v>
      </c>
    </row>
    <row r="4" ht="18.5" customHeight="1" spans="1:20">
      <c r="A4" s="2" t="s">
        <v>124</v>
      </c>
      <c r="B4" s="7">
        <v>85.76</v>
      </c>
      <c r="C4" s="6">
        <v>57.97</v>
      </c>
      <c r="D4" s="6">
        <v>61.36</v>
      </c>
      <c r="E4" s="6">
        <v>78.31</v>
      </c>
      <c r="F4" s="7">
        <v>60.34</v>
      </c>
      <c r="G4" s="7">
        <v>56.61</v>
      </c>
      <c r="H4" s="7">
        <v>74.58</v>
      </c>
      <c r="I4" s="6">
        <v>58.64</v>
      </c>
      <c r="J4" s="6">
        <v>58.64</v>
      </c>
      <c r="K4" s="6">
        <v>77.29</v>
      </c>
      <c r="L4" s="7">
        <v>65.08</v>
      </c>
      <c r="M4" s="7">
        <v>63.39</v>
      </c>
      <c r="N4" s="7">
        <v>75.59</v>
      </c>
      <c r="O4" s="6">
        <v>61.36</v>
      </c>
      <c r="P4" s="6">
        <v>58.64</v>
      </c>
      <c r="Q4" s="6">
        <v>80</v>
      </c>
      <c r="R4" s="7">
        <v>60.68</v>
      </c>
      <c r="S4" s="7">
        <v>63.73</v>
      </c>
      <c r="T4" s="7">
        <v>77.29</v>
      </c>
    </row>
    <row r="5" ht="18.5" customHeight="1" spans="1:20">
      <c r="A5" s="9" t="s">
        <v>126</v>
      </c>
      <c r="B5" s="7">
        <v>77.9940384615385</v>
      </c>
      <c r="C5" s="6">
        <v>78.3446153846154</v>
      </c>
      <c r="D5" s="6">
        <v>78.8603846153846</v>
      </c>
      <c r="E5" s="6">
        <v>78.76</v>
      </c>
      <c r="F5" s="7">
        <v>78.1928846153846</v>
      </c>
      <c r="G5" s="7">
        <v>78.4446153846154</v>
      </c>
      <c r="H5" s="7">
        <v>78.2711538461539</v>
      </c>
      <c r="I5" s="6">
        <v>77.9526923076923</v>
      </c>
      <c r="J5" s="6">
        <v>78.1023076923077</v>
      </c>
      <c r="K5" s="6">
        <v>77.5348076923077</v>
      </c>
      <c r="L5" s="7">
        <v>78.135</v>
      </c>
      <c r="M5" s="7">
        <v>77.6292307692308</v>
      </c>
      <c r="N5" s="7">
        <v>77.285</v>
      </c>
      <c r="O5" s="6">
        <v>77.6705769230769</v>
      </c>
      <c r="P5" s="6">
        <v>77.76</v>
      </c>
      <c r="Q5" s="6">
        <v>77.5365384615385</v>
      </c>
      <c r="R5" s="7">
        <v>76.9661538461538</v>
      </c>
      <c r="S5" s="7">
        <v>77.6557692307692</v>
      </c>
      <c r="T5" s="7">
        <v>77.0628846153846</v>
      </c>
    </row>
    <row r="6" ht="18.5" customHeight="1" spans="1:20">
      <c r="A6" s="9" t="s">
        <v>127</v>
      </c>
      <c r="B6" s="7">
        <v>51.03625</v>
      </c>
      <c r="C6" s="6">
        <v>54.14875</v>
      </c>
      <c r="D6" s="6">
        <v>57.63375</v>
      </c>
      <c r="E6" s="6">
        <v>56.50625</v>
      </c>
      <c r="F6" s="7">
        <v>54.11125</v>
      </c>
      <c r="G6" s="7">
        <v>55.8975</v>
      </c>
      <c r="H6" s="7">
        <v>55.71</v>
      </c>
      <c r="I6" s="6">
        <v>54.8425</v>
      </c>
      <c r="J6" s="6">
        <v>55.3025</v>
      </c>
      <c r="K6" s="6">
        <v>52.93125</v>
      </c>
      <c r="L6" s="7">
        <v>55.49875</v>
      </c>
      <c r="M6" s="7">
        <v>53.155</v>
      </c>
      <c r="N6" s="7">
        <v>52.37375</v>
      </c>
      <c r="O6" s="6">
        <v>54.23375</v>
      </c>
      <c r="P6" s="6">
        <v>55.85875</v>
      </c>
      <c r="Q6" s="6">
        <v>55.23875</v>
      </c>
      <c r="R6" s="7">
        <v>53.7125</v>
      </c>
      <c r="S6" s="7">
        <v>55.76</v>
      </c>
      <c r="T6" s="7">
        <v>52.44875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5"/>
  <sheetViews>
    <sheetView zoomScale="115" zoomScaleNormal="115" topLeftCell="A14" workbookViewId="0">
      <selection activeCell="G22" sqref="G22"/>
    </sheetView>
  </sheetViews>
  <sheetFormatPr defaultColWidth="9.02654867256637" defaultRowHeight="13.5"/>
  <cols>
    <col min="1" max="1" width="11.2035398230088" customWidth="1"/>
    <col min="2" max="2" width="15.141592920354" customWidth="1"/>
  </cols>
  <sheetData>
    <row r="1" ht="15.75" spans="1:21">
      <c r="A1" s="2" t="s">
        <v>121</v>
      </c>
      <c r="C1" s="3">
        <v>0.5</v>
      </c>
      <c r="D1" s="3">
        <v>1</v>
      </c>
      <c r="E1" s="3">
        <v>1.5</v>
      </c>
      <c r="F1" s="3">
        <v>2</v>
      </c>
      <c r="G1" s="3">
        <v>2.5</v>
      </c>
      <c r="H1" s="3">
        <v>3</v>
      </c>
      <c r="J1" s="4"/>
      <c r="K1" s="5"/>
      <c r="L1" s="4"/>
      <c r="M1" s="5"/>
      <c r="N1" s="4"/>
      <c r="O1" s="5"/>
      <c r="P1" s="4"/>
      <c r="Q1" s="5"/>
      <c r="R1" s="4"/>
      <c r="S1" s="5"/>
      <c r="T1" s="4"/>
      <c r="U1" s="5"/>
    </row>
    <row r="2" ht="13.85" spans="1:21">
      <c r="B2" t="s">
        <v>130</v>
      </c>
      <c r="C2" s="6">
        <v>85.29</v>
      </c>
      <c r="D2" s="7">
        <v>84.85</v>
      </c>
      <c r="E2" s="6">
        <v>85.04</v>
      </c>
      <c r="F2" s="7">
        <v>85.15</v>
      </c>
      <c r="G2" s="6">
        <v>84.64</v>
      </c>
      <c r="H2" s="7">
        <v>84.45</v>
      </c>
    </row>
    <row r="3" ht="13.85" spans="1:21">
      <c r="B3" t="s">
        <v>151</v>
      </c>
      <c r="C3" s="6">
        <v>84.95</v>
      </c>
      <c r="D3" s="7">
        <v>85.12</v>
      </c>
      <c r="E3" s="6">
        <v>84.91</v>
      </c>
      <c r="F3" s="7">
        <v>84.97</v>
      </c>
      <c r="G3" s="6">
        <v>84.61</v>
      </c>
      <c r="H3" s="7">
        <v>84.57</v>
      </c>
    </row>
    <row r="4" ht="13.85" spans="1:21">
      <c r="B4" t="s">
        <v>132</v>
      </c>
      <c r="C4" s="6">
        <v>84.02</v>
      </c>
      <c r="D4" s="7">
        <v>84.11</v>
      </c>
      <c r="E4" s="6">
        <v>83.28</v>
      </c>
      <c r="F4" s="7">
        <v>83.63</v>
      </c>
      <c r="G4" s="6">
        <v>83.6</v>
      </c>
      <c r="H4" s="7">
        <v>83.75</v>
      </c>
    </row>
    <row r="5" ht="13.85" spans="1:21">
      <c r="B5" t="s">
        <v>152</v>
      </c>
      <c r="C5" s="6">
        <v>83.45</v>
      </c>
      <c r="D5">
        <v>83.35</v>
      </c>
      <c r="E5" s="6">
        <v>83.02</v>
      </c>
      <c r="F5">
        <v>83.18</v>
      </c>
      <c r="G5" s="6">
        <v>83.09</v>
      </c>
      <c r="H5">
        <v>82.97</v>
      </c>
    </row>
    <row r="6" ht="15.75" spans="1:21">
      <c r="B6" s="2" t="s">
        <v>4</v>
      </c>
      <c r="C6" s="7">
        <v>85.19</v>
      </c>
      <c r="D6" s="3">
        <v>85.19</v>
      </c>
      <c r="E6" s="3">
        <v>85.19</v>
      </c>
      <c r="F6" s="3">
        <v>85.19</v>
      </c>
      <c r="G6" s="3">
        <v>85.19</v>
      </c>
      <c r="H6" s="3">
        <v>85.19</v>
      </c>
      <c r="I6" s="5"/>
    </row>
    <row r="7" ht="15.75" spans="1:21">
      <c r="B7" s="2"/>
      <c r="C7" s="7"/>
      <c r="D7" s="3"/>
      <c r="E7" s="3"/>
      <c r="F7" s="3"/>
      <c r="G7" s="3"/>
      <c r="H7" s="3"/>
      <c r="I7" s="5"/>
    </row>
    <row r="8" ht="13.9" spans="1:21">
      <c r="A8" s="2" t="s">
        <v>123</v>
      </c>
      <c r="C8" s="3">
        <v>0.5</v>
      </c>
      <c r="D8" s="3">
        <v>1</v>
      </c>
      <c r="E8" s="3">
        <v>1.5</v>
      </c>
      <c r="F8" s="3">
        <v>2</v>
      </c>
      <c r="G8" s="3">
        <v>2.5</v>
      </c>
      <c r="H8" s="3">
        <v>3</v>
      </c>
    </row>
    <row r="9" ht="13.85" spans="1:21">
      <c r="B9" t="s">
        <v>130</v>
      </c>
      <c r="C9" s="6">
        <v>67.48</v>
      </c>
      <c r="D9" s="7">
        <v>67.96</v>
      </c>
      <c r="E9" s="6">
        <v>67.17</v>
      </c>
      <c r="F9" s="7">
        <v>67.4</v>
      </c>
      <c r="G9" s="6">
        <v>66.14</v>
      </c>
      <c r="H9" s="7">
        <v>66.06</v>
      </c>
    </row>
    <row r="10" ht="13.85" spans="1:21">
      <c r="B10" t="s">
        <v>151</v>
      </c>
      <c r="C10" s="6">
        <v>67.09</v>
      </c>
      <c r="D10" s="7">
        <v>67.17</v>
      </c>
      <c r="E10" s="6">
        <v>68.11</v>
      </c>
      <c r="F10" s="7">
        <v>66.22</v>
      </c>
      <c r="G10" s="6">
        <v>65.59</v>
      </c>
      <c r="H10" s="7">
        <v>65.51</v>
      </c>
    </row>
    <row r="11" ht="13.85" spans="1:21">
      <c r="B11" t="s">
        <v>132</v>
      </c>
      <c r="C11" s="6">
        <v>65.82</v>
      </c>
      <c r="D11" s="7">
        <v>65.04</v>
      </c>
      <c r="E11" s="6">
        <v>64.25</v>
      </c>
      <c r="F11" s="7">
        <v>61.33</v>
      </c>
      <c r="G11" s="6">
        <v>60.38</v>
      </c>
      <c r="H11" s="7">
        <v>60.93</v>
      </c>
    </row>
    <row r="12" ht="13.85" spans="1:21">
      <c r="C12" s="6">
        <v>64.33</v>
      </c>
      <c r="D12" s="8">
        <v>61.88</v>
      </c>
      <c r="E12" s="6">
        <v>62.98</v>
      </c>
      <c r="F12" s="8">
        <v>61.33</v>
      </c>
      <c r="G12" s="6">
        <v>61.96</v>
      </c>
      <c r="H12" s="6">
        <v>61.56</v>
      </c>
    </row>
    <row r="13" ht="13.85" spans="1:21">
      <c r="B13" t="s">
        <v>4</v>
      </c>
      <c r="C13" s="7">
        <v>67.56</v>
      </c>
      <c r="D13" s="7">
        <v>67.56</v>
      </c>
      <c r="E13" s="7">
        <v>67.56</v>
      </c>
      <c r="F13" s="7">
        <v>67.56</v>
      </c>
      <c r="G13" s="7">
        <v>67.56</v>
      </c>
      <c r="H13" s="7">
        <v>67.56</v>
      </c>
    </row>
    <row r="15" ht="13.9" spans="1:21">
      <c r="A15" s="2" t="s">
        <v>124</v>
      </c>
      <c r="C15" s="3">
        <v>0.5</v>
      </c>
      <c r="D15" s="3">
        <v>1</v>
      </c>
      <c r="E15" s="3">
        <v>1.5</v>
      </c>
      <c r="F15" s="3">
        <v>2</v>
      </c>
      <c r="G15" s="3">
        <v>2.5</v>
      </c>
      <c r="H15" s="3">
        <v>3</v>
      </c>
    </row>
    <row r="16" ht="13.85" spans="1:21">
      <c r="B16" t="s">
        <v>130</v>
      </c>
      <c r="C16" s="6">
        <v>57.97</v>
      </c>
      <c r="D16" s="7">
        <v>60.34</v>
      </c>
      <c r="E16" s="6">
        <v>58.64</v>
      </c>
      <c r="F16" s="7">
        <v>65.08</v>
      </c>
      <c r="G16" s="6">
        <v>61.36</v>
      </c>
      <c r="H16" s="7">
        <v>60.68</v>
      </c>
    </row>
    <row r="17" ht="13.85" spans="1:8">
      <c r="B17" t="s">
        <v>151</v>
      </c>
      <c r="C17" s="6">
        <v>61.36</v>
      </c>
      <c r="D17" s="7">
        <v>56.61</v>
      </c>
      <c r="E17" s="6">
        <v>58.64</v>
      </c>
      <c r="F17" s="7">
        <v>63.39</v>
      </c>
      <c r="G17" s="6">
        <v>58.64</v>
      </c>
      <c r="H17" s="7">
        <v>63.73</v>
      </c>
    </row>
    <row r="18" ht="13.85" spans="1:8">
      <c r="B18" t="s">
        <v>132</v>
      </c>
      <c r="C18" s="6">
        <v>78.31</v>
      </c>
      <c r="D18" s="7">
        <v>74.58</v>
      </c>
      <c r="E18" s="6">
        <v>77.29</v>
      </c>
      <c r="F18" s="7">
        <v>75.59</v>
      </c>
      <c r="G18" s="6">
        <v>80</v>
      </c>
      <c r="H18" s="7">
        <v>77.29</v>
      </c>
    </row>
    <row r="19" ht="13.85" spans="1:8">
      <c r="C19" s="6">
        <v>76.61</v>
      </c>
      <c r="D19" s="8">
        <v>75.93</v>
      </c>
      <c r="E19" s="6">
        <v>74.92</v>
      </c>
      <c r="F19" s="8">
        <v>77.63</v>
      </c>
      <c r="G19" s="6">
        <v>77.29</v>
      </c>
      <c r="H19" s="8">
        <v>76.95</v>
      </c>
    </row>
    <row r="20" ht="15.75" spans="1:8">
      <c r="B20" s="5" t="s">
        <v>4</v>
      </c>
      <c r="C20" s="7">
        <v>85.76</v>
      </c>
      <c r="D20" s="7">
        <v>85.76</v>
      </c>
      <c r="E20" s="7">
        <v>85.76</v>
      </c>
      <c r="F20" s="7">
        <v>85.76</v>
      </c>
      <c r="G20" s="7">
        <v>85.76</v>
      </c>
      <c r="H20" s="7">
        <v>85.76</v>
      </c>
    </row>
    <row r="23" ht="13.9" spans="1:8">
      <c r="A23" s="9" t="s">
        <v>126</v>
      </c>
      <c r="C23" s="3">
        <v>0.5</v>
      </c>
      <c r="D23" s="3">
        <v>1</v>
      </c>
      <c r="E23" s="3">
        <v>1.5</v>
      </c>
      <c r="F23" s="3">
        <v>2</v>
      </c>
      <c r="G23" s="3">
        <v>2.5</v>
      </c>
      <c r="H23" s="3">
        <v>3</v>
      </c>
    </row>
    <row r="24" ht="13.85" spans="1:8">
      <c r="B24" t="s">
        <v>130</v>
      </c>
      <c r="C24" s="6">
        <v>78.3446153846154</v>
      </c>
      <c r="D24" s="7">
        <v>78.1928846153846</v>
      </c>
      <c r="E24" s="6">
        <v>77.9526923076923</v>
      </c>
      <c r="F24" s="7">
        <v>78.135</v>
      </c>
      <c r="G24" s="6">
        <v>77.6705769230769</v>
      </c>
      <c r="H24" s="7">
        <v>76.9661538461538</v>
      </c>
    </row>
    <row r="25" ht="13.85" spans="1:8">
      <c r="B25" t="s">
        <v>151</v>
      </c>
      <c r="C25" s="6">
        <v>78.8603846153846</v>
      </c>
      <c r="D25" s="7">
        <v>78.4446153846154</v>
      </c>
      <c r="E25" s="6">
        <v>78.1023076923077</v>
      </c>
      <c r="F25" s="7">
        <v>77.6292307692308</v>
      </c>
      <c r="G25" s="6">
        <v>77.76</v>
      </c>
      <c r="H25" s="7">
        <v>77.6557692307692</v>
      </c>
    </row>
    <row r="26" ht="13.85" spans="1:8">
      <c r="B26" t="s">
        <v>132</v>
      </c>
      <c r="C26" s="6">
        <v>78.76</v>
      </c>
      <c r="D26" s="7">
        <v>78.2711538461539</v>
      </c>
      <c r="E26" s="6">
        <v>77.5348076923077</v>
      </c>
      <c r="F26" s="7">
        <v>77.285</v>
      </c>
      <c r="G26" s="6">
        <v>77.5365384615385</v>
      </c>
      <c r="H26" s="7">
        <v>77.0628846153846</v>
      </c>
    </row>
    <row r="27" ht="13.85" spans="1:8">
      <c r="C27" s="6">
        <v>78.6015384615385</v>
      </c>
      <c r="D27" s="7">
        <v>77.8815384615384</v>
      </c>
      <c r="E27" s="6">
        <v>77.5746153846154</v>
      </c>
      <c r="F27" s="7">
        <v>77.0207692307692</v>
      </c>
      <c r="G27" s="6">
        <v>77.2017307692307</v>
      </c>
      <c r="H27" s="7">
        <v>77.1625</v>
      </c>
    </row>
    <row r="28" ht="15.75" spans="1:8">
      <c r="B28" s="5" t="s">
        <v>4</v>
      </c>
      <c r="C28" s="7">
        <v>77.9940384615385</v>
      </c>
      <c r="D28" s="7">
        <v>77.9940384615385</v>
      </c>
      <c r="E28" s="7">
        <v>77.9940384615385</v>
      </c>
      <c r="F28" s="7">
        <v>77.9940384615385</v>
      </c>
      <c r="G28" s="7">
        <v>77.9940384615385</v>
      </c>
      <c r="H28" s="7">
        <v>77.9940384615385</v>
      </c>
    </row>
    <row r="30" ht="13.9" spans="1:8">
      <c r="A30" s="9" t="s">
        <v>127</v>
      </c>
      <c r="C30" s="3">
        <v>0.5</v>
      </c>
      <c r="D30" s="3">
        <v>1</v>
      </c>
      <c r="E30" s="3">
        <v>1.5</v>
      </c>
      <c r="F30" s="3">
        <v>2</v>
      </c>
      <c r="G30" s="3">
        <v>2.5</v>
      </c>
      <c r="H30" s="3">
        <v>3</v>
      </c>
    </row>
    <row r="31" ht="13.85" spans="1:8">
      <c r="B31" t="s">
        <v>130</v>
      </c>
      <c r="C31" s="6">
        <v>54.14875</v>
      </c>
      <c r="D31" s="7">
        <v>54.11125</v>
      </c>
      <c r="E31" s="6">
        <v>54.8425</v>
      </c>
      <c r="F31" s="7">
        <v>55.49875</v>
      </c>
      <c r="G31" s="6">
        <v>54.23375</v>
      </c>
      <c r="H31" s="7">
        <v>53.7125</v>
      </c>
    </row>
    <row r="32" ht="13.85" spans="1:8">
      <c r="B32" t="s">
        <v>151</v>
      </c>
      <c r="C32" s="6">
        <v>57.63375</v>
      </c>
      <c r="D32" s="7">
        <v>55.8975</v>
      </c>
      <c r="E32" s="6">
        <v>55.3025</v>
      </c>
      <c r="F32" s="7">
        <v>53.155</v>
      </c>
      <c r="G32" s="6">
        <v>55.85875</v>
      </c>
      <c r="H32" s="7">
        <v>55.76</v>
      </c>
    </row>
    <row r="33" ht="13.85" spans="2:8">
      <c r="B33" t="s">
        <v>132</v>
      </c>
      <c r="C33" s="6">
        <v>56.50625</v>
      </c>
      <c r="D33" s="7">
        <v>55.71</v>
      </c>
      <c r="E33" s="6">
        <v>52.93125</v>
      </c>
      <c r="F33" s="7">
        <v>52.37375</v>
      </c>
      <c r="G33" s="6">
        <v>55.23875</v>
      </c>
      <c r="H33" s="7">
        <v>52.44875</v>
      </c>
    </row>
    <row r="34" ht="13.85" spans="2:8">
      <c r="C34" s="6">
        <v>52.81</v>
      </c>
      <c r="D34" s="7">
        <v>54.16125</v>
      </c>
      <c r="E34" s="6">
        <v>53.5775</v>
      </c>
      <c r="F34" s="7">
        <v>52.92</v>
      </c>
      <c r="G34" s="6">
        <v>52.92</v>
      </c>
      <c r="H34" s="7">
        <v>52.92</v>
      </c>
    </row>
    <row r="35" ht="15.75" spans="2:8">
      <c r="B35" s="5" t="s">
        <v>4</v>
      </c>
      <c r="C35" s="7">
        <v>51.03625</v>
      </c>
      <c r="D35" s="7">
        <v>51.03625</v>
      </c>
      <c r="E35" s="7">
        <v>51.03625</v>
      </c>
      <c r="F35" s="7">
        <v>51.03625</v>
      </c>
      <c r="G35" s="7">
        <v>51.03625</v>
      </c>
      <c r="H35" s="7">
        <v>51.03625</v>
      </c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D1" sqref="D1:D6"/>
    </sheetView>
  </sheetViews>
  <sheetFormatPr defaultColWidth="9.02654867256637" defaultRowHeight="13.5" outlineLevelRow="5" outlineLevelCol="3"/>
  <cols>
    <col min="3" max="3" width="14.5398230088496" customWidth="1"/>
  </cols>
  <sheetData>
    <row r="1" spans="1:4">
      <c r="A1">
        <v>4000</v>
      </c>
      <c r="B1">
        <v>84000</v>
      </c>
      <c r="C1">
        <f t="shared" ref="C1:C6" si="0">A1*B1</f>
        <v>336000000</v>
      </c>
      <c r="D1" s="1">
        <v>0.35</v>
      </c>
    </row>
    <row r="2" spans="1:4">
      <c r="A2">
        <v>8000</v>
      </c>
      <c r="B2">
        <v>84000</v>
      </c>
      <c r="C2">
        <f t="shared" si="0"/>
        <v>672000000</v>
      </c>
      <c r="D2" s="1">
        <v>0.7</v>
      </c>
    </row>
    <row r="3" spans="1:4">
      <c r="A3">
        <v>12000</v>
      </c>
      <c r="B3">
        <v>84000</v>
      </c>
      <c r="C3">
        <f t="shared" si="0"/>
        <v>1008000000</v>
      </c>
      <c r="D3" s="1">
        <v>1</v>
      </c>
    </row>
    <row r="4" spans="1:4">
      <c r="A4">
        <v>16000</v>
      </c>
      <c r="B4">
        <v>84000</v>
      </c>
      <c r="C4">
        <f t="shared" si="0"/>
        <v>1344000000</v>
      </c>
      <c r="D4" s="1">
        <v>1.35</v>
      </c>
    </row>
    <row r="5" spans="1:4">
      <c r="A5">
        <v>20000</v>
      </c>
      <c r="B5">
        <v>84000</v>
      </c>
      <c r="C5">
        <f t="shared" si="0"/>
        <v>1680000000</v>
      </c>
      <c r="D5" s="1">
        <v>1.7</v>
      </c>
    </row>
    <row r="6" spans="1:4">
      <c r="A6">
        <v>24000</v>
      </c>
      <c r="B6">
        <v>84000</v>
      </c>
      <c r="C6">
        <f t="shared" si="0"/>
        <v>2016000000</v>
      </c>
      <c r="D6" s="1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summary_20251222_083142</vt:lpstr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练</cp:lastModifiedBy>
  <dcterms:created xsi:type="dcterms:W3CDTF">2025-12-22T12:16:00Z</dcterms:created>
  <dcterms:modified xsi:type="dcterms:W3CDTF">2026-03-04T06:42:51Z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6FD004E9F7CA4040A564003338914BD7_13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